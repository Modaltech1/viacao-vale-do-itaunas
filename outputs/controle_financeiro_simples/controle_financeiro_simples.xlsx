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e0ce7b9f1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çamentos" sheetId="1" r:id="Raff48a8a2f91476d"/>
    <x:sheet xmlns:r="http://schemas.openxmlformats.org/officeDocument/2006/relationships" name="Resumo Mensal" sheetId="2" r:id="R58361992352647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0"/>
    <x:numFmt numFmtId="202" formatCode="yyyy-mm-dd"/>
    <x:numFmt numFmtId="203" formatCode="mmm yyyy"/>
    <x:numFmt numFmtId="204" formatCode="#,##0.00"/>
    <x:numFmt numFmtId="205" formatCode="&quot;R$&quot; #,##0.00;[Red](&quot;R$&quot; #,##0.00);-"/>
    <x:numFmt numFmtId="206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sz val="10"/>
      <x:color rgb="FFDDE7F2"/>
      <x:name val="Carlito"/>
    </x:font>
    <x:font>
      <x:b/>
      <x:sz val="11"/>
      <x:color rgb="FF0F172A"/>
      <x:name val="Carlito"/>
    </x:font>
    <x:font>
      <x:sz val="11"/>
      <x:color rgb="FF47556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3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204" fontId="0" fillId="0" borderId="4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  <x:xf numFmtId="204" fontId="0" fillId="0" borderId="6" xfId="0" applyNumberFormat="1" applyFont="1" applyFill="1" applyBorder="1" applyAlignment="1">
      <x:alignment vertical="center"/>
    </x:xf>
    <x:xf numFmtId="205" fontId="0" fillId="0" borderId="4" xfId="0" applyNumberFormat="1" applyFont="1" applyFill="1" applyBorder="1" applyAlignment="1">
      <x:alignment vertical="center"/>
    </x:xf>
    <x:xf numFmtId="205" fontId="0" fillId="0" borderId="5" xfId="0" applyNumberFormat="1" applyFont="1" applyFill="1" applyBorder="1" applyAlignment="1">
      <x:alignment vertical="center"/>
    </x:xf>
    <x:xf numFmtId="205" fontId="0" fillId="0" borderId="6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3" fontId="0" fillId="0" borderId="4" xfId="0" applyNumberFormat="1" applyFont="1" applyFill="1" applyBorder="1"/>
    <x:xf numFmtId="205" fontId="0" fillId="0" borderId="4" xfId="0" applyNumberFormat="1" applyFont="1" applyFill="1" applyBorder="1"/>
    <x:xf numFmtId="206" fontId="0" fillId="0" borderId="4" xfId="0" applyNumberFormat="1" applyFont="1" applyFill="1" applyBorder="1"/>
    <x:xf numFmtId="203" fontId="0" fillId="0" borderId="5" xfId="0" applyNumberFormat="1" applyFont="1" applyFill="1" applyBorder="1"/>
    <x:xf numFmtId="205" fontId="0" fillId="0" borderId="5" xfId="0" applyNumberFormat="1" applyFont="1" applyFill="1" applyBorder="1"/>
    <x:xf numFmtId="206" fontId="0" fillId="0" borderId="5" xfId="0" applyNumberFormat="1" applyFont="1" applyFill="1" applyBorder="1"/>
    <x:xf numFmtId="203" fontId="0" fillId="0" borderId="6" xfId="0" applyNumberFormat="1" applyFont="1" applyFill="1" applyBorder="1"/>
    <x:xf numFmtId="205" fontId="0" fillId="0" borderId="6" xfId="0" applyNumberFormat="1" applyFont="1" applyFill="1" applyBorder="1"/>
    <x:xf numFmtId="206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5" fontId="3" fillId="4" borderId="2" xfId="0" applyNumberFormat="1" applyFont="1" applyFill="1" applyBorder="1"/>
    <x:xf numFmtId="205" fontId="3" fillId="4" borderId="3" xfId="0" applyNumberFormat="1" applyFont="1" applyFill="1" applyBorder="1"/>
    <x:xf numFmtId="205" fontId="0" fillId="5" borderId="4" xfId="0" applyNumberFormat="1" applyFont="1" applyFill="1" applyBorder="1"/>
    <x:xf numFmtId="205" fontId="0" fillId="5" borderId="5" xfId="0" applyNumberFormat="1" applyFont="1" applyFill="1" applyBorder="1"/>
    <x:xf numFmtId="205" fontId="0" fillId="5" borderId="6" xfId="0" applyNumberFormat="1" applyFont="1" applyFill="1" applyBorder="1"/>
    <x:xf numFmtId="205" fontId="0" fillId="6" borderId="4" xfId="0" applyNumberFormat="1" applyFont="1" applyFill="1" applyBorder="1"/>
    <x:xf numFmtId="205" fontId="0" fillId="6" borderId="5" xfId="0" applyNumberFormat="1" applyFont="1" applyFill="1" applyBorder="1"/>
    <x:xf numFmtId="205" fontId="0" fillId="6" borderId="6" xfId="0" applyNumberFormat="1" applyFont="1" applyFill="1" applyBorder="1"/>
    <x:xf numFmtId="205" fontId="0" fillId="7" borderId="4" xfId="0" applyNumberFormat="1" applyFont="1" applyFill="1" applyBorder="1"/>
    <x:xf numFmtId="205" fontId="0" fillId="7" borderId="5" xfId="0" applyNumberFormat="1" applyFont="1" applyFill="1" applyBorder="1"/>
    <x:xf numFmtId="205" fontId="0" fillId="7" borderId="6" xfId="0" applyNumberFormat="1" applyFont="1" applyFill="1" applyBorder="1"/>
    <x:xf numFmtId="0" fontId="3" fillId="3" borderId="7" xfId="0" applyNumberFormat="1" applyFont="1" applyFill="1" applyBorder="1"/>
    <x:xf numFmtId="200" fontId="0" fillId="0" borderId="8" xfId="0" applyNumberFormat="1" applyFont="1" applyFill="1" applyBorder="1"/>
    <x:xf numFmtId="0" fontId="3" fillId="3" borderId="9" xfId="0" applyNumberFormat="1" applyFont="1" applyFill="1" applyBorder="1"/>
    <x:xf numFmtId="201" fontId="0" fillId="0" borderId="10" xfId="0" applyNumberFormat="1" applyFont="1" applyFill="1" applyBorder="1"/>
    <x:xf numFmtId="0" fontId="3" fillId="3" borderId="11" xfId="0" applyNumberFormat="1" applyFont="1" applyFill="1" applyBorder="1"/>
    <x:xf numFmtId="0" fontId="4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c59a3c540492e" /><Relationship Type="http://schemas.openxmlformats.org/officeDocument/2006/relationships/theme" Target="/xl/theme/theme1.xml" Id="R383b0e200de444aa" /><Relationship Type="http://schemas.openxmlformats.org/officeDocument/2006/relationships/sharedStrings" Target="/xl/sharedStrings.xml" Id="R6f69e987a15c456f" /><Relationship Type="http://schemas.openxmlformats.org/officeDocument/2006/relationships/worksheet" Target="/xl/worksheets/sheet1.xml" Id="Raff48a8a2f91476d" /><Relationship Type="http://schemas.openxmlformats.org/officeDocument/2006/relationships/worksheet" Target="/xl/worksheets/sheet2.xml" Id="R58361992352647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18" hidden="0" customWidth="1"/>
    <x:col min="5" max="5" width="3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s="3" t="str">
        <x:v>Controle financeiro simples</x:v>
      </x:c>
      <x:c r="B1" s="3" t="str">
        <x:v>Controle financeiro simples</x:v>
      </x:c>
      <x:c r="C1" s="3" t="str">
        <x:v>Controle financeiro simples</x:v>
      </x:c>
      <x:c r="D1" s="3" t="str">
        <x:v>Controle financeiro simples</x:v>
      </x:c>
      <x:c r="E1" s="3" t="str">
        <x:v>Controle financeiro simples</x:v>
      </x:c>
      <x:c r="F1" s="3" t="str">
        <x:v>Controle financeiro simples</x:v>
      </x:c>
      <x:c r="G1" s="3" t="str">
        <x:v>Controle financeiro simples</x:v>
      </x:c>
      <x:c r="H1" s="3" t="str">
        <x:v>Controle financeiro simples</x:v>
      </x:c>
      <x:c r="I1" s="3" t="str">
        <x:v>Controle financeiro simples</x:v>
      </x:c>
      <x:c r="J1" s="3" t="str">
        <x:v>Controle financeiro simples</x:v>
      </x:c>
      <x:c r="K1" s="3" t="str">
        <x:v>Controle financeiro simples</x:v>
      </x:c>
    </x:row>
    <x:row r="2">
      <x:c r="A2" s="5" t="str">
        <x:v>Preencha uma linha por receita ou custo. A taxa da maquininha vem por padrão em 4,98% quando marcada como Sim.</x:v>
      </x:c>
      <x:c r="B2" s="5" t="str">
        <x:v>Preencha uma linha por receita ou custo. A taxa da maquininha vem por padrão em 4,98% quando marcada como Sim.</x:v>
      </x:c>
      <x:c r="C2" s="5" t="str">
        <x:v>Preencha uma linha por receita ou custo. A taxa da maquininha vem por padrão em 4,98% quando marcada como Sim.</x:v>
      </x:c>
      <x:c r="D2" s="5" t="str">
        <x:v>Preencha uma linha por receita ou custo. A taxa da maquininha vem por padrão em 4,98% quando marcada como Sim.</x:v>
      </x:c>
      <x:c r="E2" s="5" t="str">
        <x:v>Preencha uma linha por receita ou custo. A taxa da maquininha vem por padrão em 4,98% quando marcada como Sim.</x:v>
      </x:c>
      <x:c r="F2" s="5" t="str">
        <x:v>Preencha uma linha por receita ou custo. A taxa da maquininha vem por padrão em 4,98% quando marcada como Sim.</x:v>
      </x:c>
      <x:c r="G2" s="5" t="str">
        <x:v>Preencha uma linha por receita ou custo. A taxa da maquininha vem por padrão em 4,98% quando marcada como Sim.</x:v>
      </x:c>
      <x:c r="H2" s="5" t="str">
        <x:v>Preencha uma linha por receita ou custo. A taxa da maquininha vem por padrão em 4,98% quando marcada como Sim.</x:v>
      </x:c>
      <x:c r="I2" s="5" t="str">
        <x:v>Preencha uma linha por receita ou custo. A taxa da maquininha vem por padrão em 4,98% quando marcada como Sim.</x:v>
      </x:c>
      <x:c r="J2" s="5" t="str">
        <x:v>Preencha uma linha por receita ou custo. A taxa da maquininha vem por padrão em 4,98% quando marcada como Sim.</x:v>
      </x:c>
      <x:c r="K2" s="5" t="str">
        <x:v>Preencha uma linha por receita ou custo. A taxa da maquininha vem por padrão em 4,98% quando marcada como Sim.</x:v>
      </x:c>
    </x:row>
    <x:row r="4">
      <x:c r="A4" s="66" t="str">
        <x:v>Taxa padrão maquininha</x:v>
      </x:c>
      <x:c r="B4" s="67" t="n">
        <x:v>0.0498</x:v>
      </x:c>
    </x:row>
    <x:row r="5">
      <x:c r="A5" s="68" t="str">
        <x:v>Ano do resumo</x:v>
      </x:c>
      <x:c r="B5" s="69" t="n">
        <x:v>2026</x:v>
      </x:c>
    </x:row>
    <x:row r="6">
      <x:c r="A6" s="70" t="str">
        <x:v>Observação</x:v>
      </x:c>
      <x:c r="B6" s="71" t="str">
        <x:v>Edite as linhas abaixo livremente mês a mês.</x:v>
      </x:c>
    </x:row>
    <x:row r="8">
      <x:c r="A8" s="17" t="str">
        <x:v>Data</x:v>
      </x:c>
      <x:c r="B8" s="18" t="str">
        <x:v>Mês</x:v>
      </x:c>
      <x:c r="C8" s="18" t="str">
        <x:v>Tipo</x:v>
      </x:c>
      <x:c r="D8" s="18" t="str">
        <x:v>Categoria</x:v>
      </x:c>
      <x:c r="E8" s="18" t="str">
        <x:v>Descrição</x:v>
      </x:c>
      <x:c r="F8" s="18" t="str">
        <x:v>Quantidade</x:v>
      </x:c>
      <x:c r="G8" s="18" t="str">
        <x:v>Valor unitário</x:v>
      </x:c>
      <x:c r="H8" s="18" t="str">
        <x:v>Valor bruto</x:v>
      </x:c>
      <x:c r="I8" s="18" t="str">
        <x:v>Aplicar taxa?</x:v>
      </x:c>
      <x:c r="J8" s="18" t="str">
        <x:v>Taxa maquininha</x:v>
      </x:c>
      <x:c r="K8" s="19" t="str">
        <x:v>Valor líquido</x:v>
      </x:c>
    </x:row>
    <x:row r="9">
      <x:c r="A9" s="26" t="n">
        <x:v>46032</x:v>
      </x:c>
      <x:c r="B9" s="29" t="n">
        <x:f>IF(A9="","",DATE(YEAR(A9),MONTH(A9),1))</x:f>
        <x:v>46023</x:v>
      </x:c>
      <x:c r="C9" s="23" t="str">
        <x:v>Receita</x:v>
      </x:c>
      <x:c r="D9" s="23" t="str">
        <x:v>Implantação</x:v>
      </x:c>
      <x:c r="E9" s="23" t="str">
        <x:v>Implantação do sistema</x:v>
      </x:c>
      <x:c r="F9" s="32" t="n">
        <x:v>1</x:v>
      </x:c>
      <x:c r="G9" s="35" t="n">
        <x:v>15000</x:v>
      </x:c>
      <x:c r="H9" s="35" t="n">
        <x:f>IF(OR(F9="",G9=""),"",F9*G9)</x:f>
        <x:v>15000</x:v>
      </x:c>
      <x:c r="I9" s="23" t="str">
        <x:v>Não</x:v>
      </x:c>
      <x:c r="J9" s="35" t="n">
        <x:f>IF(I9="Sim",H9*$B$4,0)</x:f>
        <x:v>0</x:v>
      </x:c>
      <x:c r="K9" s="35" t="n">
        <x:f>IF(H9="","",IF(C9="Receita",H9-J9,-H9-J9))</x:f>
        <x:v>15000</x:v>
      </x:c>
    </x:row>
    <x:row r="10">
      <x:c r="A10" s="27" t="n">
        <x:v>46042</x:v>
      </x:c>
      <x:c r="B10" s="30" t="n">
        <x:f>IF(A10="","",DATE(YEAR(A10),MONTH(A10),1))</x:f>
        <x:v>46023</x:v>
      </x:c>
      <x:c r="C10" s="24" t="str">
        <x:v>Custo</x:v>
      </x:c>
      <x:c r="D10" s="24" t="str">
        <x:v>Servidor</x:v>
      </x:c>
      <x:c r="E10" s="24" t="str">
        <x:v>Servidor / hospedagem</x:v>
      </x:c>
      <x:c r="F10" s="33" t="n">
        <x:v>1</x:v>
      </x:c>
      <x:c r="G10" s="36" t="n">
        <x:v>250</x:v>
      </x:c>
      <x:c r="H10" s="36" t="n">
        <x:f>IF(OR(F10="",G10=""),"",F10*G10)</x:f>
        <x:v>250</x:v>
      </x:c>
      <x:c r="I10" s="24" t="str">
        <x:v>Não</x:v>
      </x:c>
      <x:c r="J10" s="36" t="n">
        <x:f>IF(I10="Sim",H10*$B$4,0)</x:f>
        <x:v>0</x:v>
      </x:c>
      <x:c r="K10" s="36" t="n">
        <x:f>IF(H10="","",IF(C10="Receita",H10-J10,-H10-J10))</x:f>
        <x:v>-250</x:v>
      </x:c>
    </x:row>
    <x:row r="11">
      <x:c r="A11" s="27" t="n">
        <x:v>46042</x:v>
      </x:c>
      <x:c r="B11" s="30" t="n">
        <x:f>IF(A11="","",DATE(YEAR(A11),MONTH(A11),1))</x:f>
        <x:v>46023</x:v>
      </x:c>
      <x:c r="C11" s="24" t="str">
        <x:v>Custo</x:v>
      </x:c>
      <x:c r="D11" s="24" t="str">
        <x:v>Domínio</x:v>
      </x:c>
      <x:c r="E11" s="24" t="str">
        <x:v>Domínio anual rateado ou pago no mês</x:v>
      </x:c>
      <x:c r="F11" s="33" t="n">
        <x:v>1</x:v>
      </x:c>
      <x:c r="G11" s="36" t="n">
        <x:v>80</x:v>
      </x:c>
      <x:c r="H11" s="36" t="n">
        <x:f>IF(OR(F11="",G11=""),"",F11*G11)</x:f>
        <x:v>80</x:v>
      </x:c>
      <x:c r="I11" s="24" t="str">
        <x:v>Não</x:v>
      </x:c>
      <x:c r="J11" s="36" t="n">
        <x:f>IF(I11="Sim",H11*$B$4,0)</x:f>
        <x:v>0</x:v>
      </x:c>
      <x:c r="K11" s="36" t="n">
        <x:f>IF(H11="","",IF(C11="Receita",H11-J11,-H11-J11))</x:f>
        <x:v>-80</x:v>
      </x:c>
    </x:row>
    <x:row r="12">
      <x:c r="A12" s="27" t="n">
        <x:v>46063</x:v>
      </x:c>
      <x:c r="B12" s="30" t="n">
        <x:f>IF(A12="","",DATE(YEAR(A12),MONTH(A12),1))</x:f>
        <x:v>46054</x:v>
      </x:c>
      <x:c r="C12" s="24" t="str">
        <x:v>Receita</x:v>
      </x:c>
      <x:c r="D12" s="24" t="str">
        <x:v>Mensalidade</x:v>
      </x:c>
      <x:c r="E12" s="24" t="str">
        <x:v>Mensalidade recebida no cartão</x:v>
      </x:c>
      <x:c r="F12" s="33" t="n">
        <x:v>1</x:v>
      </x:c>
      <x:c r="G12" s="36" t="n">
        <x:v>3000</x:v>
      </x:c>
      <x:c r="H12" s="36" t="n">
        <x:f>IF(OR(F12="",G12=""),"",F12*G12)</x:f>
        <x:v>3000</x:v>
      </x:c>
      <x:c r="I12" s="24" t="str">
        <x:v>Sim</x:v>
      </x:c>
      <x:c r="J12" s="36" t="n">
        <x:f>IF(I12="Sim",H12*$B$4,0)</x:f>
        <x:v>149.39999999999998</x:v>
      </x:c>
      <x:c r="K12" s="36" t="n">
        <x:f>IF(H12="","",IF(C12="Receita",H12-J12,-H12-J12))</x:f>
        <x:v>2850.6</x:v>
      </x:c>
    </x:row>
    <x:row r="13">
      <x:c r="A13" s="27" t="n">
        <x:v>46073</x:v>
      </x:c>
      <x:c r="B13" s="30" t="n">
        <x:f>IF(A13="","",DATE(YEAR(A13),MONTH(A13),1))</x:f>
        <x:v>46054</x:v>
      </x:c>
      <x:c r="C13" s="24" t="str">
        <x:v>Custo</x:v>
      </x:c>
      <x:c r="D13" s="24" t="str">
        <x:v>Banco</x:v>
      </x:c>
      <x:c r="E13" s="24" t="str">
        <x:v>Taxa bancária do mês</x:v>
      </x:c>
      <x:c r="F13" s="33" t="n">
        <x:v>1</x:v>
      </x:c>
      <x:c r="G13" s="36" t="n">
        <x:v>50</x:v>
      </x:c>
      <x:c r="H13" s="36" t="n">
        <x:f>IF(OR(F13="",G13=""),"",F13*G13)</x:f>
        <x:v>50</x:v>
      </x:c>
      <x:c r="I13" s="24" t="str">
        <x:v>Não</x:v>
      </x:c>
      <x:c r="J13" s="36" t="n">
        <x:f>IF(I13="Sim",H13*$B$4,0)</x:f>
        <x:v>0</x:v>
      </x:c>
      <x:c r="K13" s="36" t="n">
        <x:f>IF(H13="","",IF(C13="Receita",H13-J13,-H13-J13))</x:f>
        <x:v>-50</x:v>
      </x:c>
    </x:row>
    <x:row r="14">
      <x:c r="A14" s="27"/>
      <x:c r="B14" s="30" t="str">
        <x:f>IF(A14="","",DATE(YEAR(A14),MONTH(A14),1))</x:f>
      </x:c>
      <x:c r="C14" s="24"/>
      <x:c r="D14" s="24"/>
      <x:c r="E14" s="24"/>
      <x:c r="F14" s="33"/>
      <x:c r="G14" s="36"/>
      <x:c r="H14" s="36" t="str">
        <x:f>IF(OR(F14="",G14=""),"",F14*G14)</x:f>
      </x:c>
      <x:c r="I14" s="24"/>
      <x:c r="J14" s="36" t="n">
        <x:f>IF(I14="Sim",H14*$B$4,0)</x:f>
        <x:v>0</x:v>
      </x:c>
      <x:c r="K14" s="36" t="str">
        <x:f>IF(H14="","",IF(C14="Receita",H14-J14,-H14-J14))</x:f>
      </x:c>
    </x:row>
    <x:row r="15">
      <x:c r="A15" s="27"/>
      <x:c r="B15" s="30" t="str">
        <x:f>IF(A15="","",DATE(YEAR(A15),MONTH(A15),1))</x:f>
      </x:c>
      <x:c r="C15" s="24"/>
      <x:c r="D15" s="24"/>
      <x:c r="E15" s="24"/>
      <x:c r="F15" s="33"/>
      <x:c r="G15" s="36"/>
      <x:c r="H15" s="36" t="str">
        <x:f>IF(OR(F15="",G15=""),"",F15*G15)</x:f>
      </x:c>
      <x:c r="I15" s="24"/>
      <x:c r="J15" s="36" t="n">
        <x:f>IF(I15="Sim",H15*$B$4,0)</x:f>
        <x:v>0</x:v>
      </x:c>
      <x:c r="K15" s="36" t="str">
        <x:f>IF(H15="","",IF(C15="Receita",H15-J15,-H15-J15))</x:f>
      </x:c>
    </x:row>
    <x:row r="16">
      <x:c r="A16" s="27"/>
      <x:c r="B16" s="30" t="str">
        <x:f>IF(A16="","",DATE(YEAR(A16),MONTH(A16),1))</x:f>
      </x:c>
      <x:c r="C16" s="24"/>
      <x:c r="D16" s="24"/>
      <x:c r="E16" s="24"/>
      <x:c r="F16" s="33"/>
      <x:c r="G16" s="36"/>
      <x:c r="H16" s="36" t="str">
        <x:f>IF(OR(F16="",G16=""),"",F16*G16)</x:f>
      </x:c>
      <x:c r="I16" s="24"/>
      <x:c r="J16" s="36" t="n">
        <x:f>IF(I16="Sim",H16*$B$4,0)</x:f>
        <x:v>0</x:v>
      </x:c>
      <x:c r="K16" s="36" t="str">
        <x:f>IF(H16="","",IF(C16="Receita",H16-J16,-H16-J16))</x:f>
      </x:c>
    </x:row>
    <x:row r="17">
      <x:c r="A17" s="27"/>
      <x:c r="B17" s="30" t="str">
        <x:f>IF(A17="","",DATE(YEAR(A17),MONTH(A17),1))</x:f>
      </x:c>
      <x:c r="C17" s="24"/>
      <x:c r="D17" s="24"/>
      <x:c r="E17" s="24"/>
      <x:c r="F17" s="33"/>
      <x:c r="G17" s="36"/>
      <x:c r="H17" s="36" t="str">
        <x:f>IF(OR(F17="",G17=""),"",F17*G17)</x:f>
      </x:c>
      <x:c r="I17" s="24"/>
      <x:c r="J17" s="36" t="n">
        <x:f>IF(I17="Sim",H17*$B$4,0)</x:f>
        <x:v>0</x:v>
      </x:c>
      <x:c r="K17" s="36" t="str">
        <x:f>IF(H17="","",IF(C17="Receita",H17-J17,-H17-J17))</x:f>
      </x:c>
    </x:row>
    <x:row r="18">
      <x:c r="A18" s="27"/>
      <x:c r="B18" s="30" t="str">
        <x:f>IF(A18="","",DATE(YEAR(A18),MONTH(A18),1))</x:f>
      </x:c>
      <x:c r="C18" s="24"/>
      <x:c r="D18" s="24"/>
      <x:c r="E18" s="24"/>
      <x:c r="F18" s="33"/>
      <x:c r="G18" s="36"/>
      <x:c r="H18" s="36" t="str">
        <x:f>IF(OR(F18="",G18=""),"",F18*G18)</x:f>
      </x:c>
      <x:c r="I18" s="24"/>
      <x:c r="J18" s="36" t="n">
        <x:f>IF(I18="Sim",H18*$B$4,0)</x:f>
        <x:v>0</x:v>
      </x:c>
      <x:c r="K18" s="36" t="str">
        <x:f>IF(H18="","",IF(C18="Receita",H18-J18,-H18-J18))</x:f>
      </x:c>
    </x:row>
    <x:row r="19">
      <x:c r="A19" s="27"/>
      <x:c r="B19" s="30" t="str">
        <x:f>IF(A19="","",DATE(YEAR(A19),MONTH(A19),1))</x:f>
      </x:c>
      <x:c r="C19" s="24"/>
      <x:c r="D19" s="24"/>
      <x:c r="E19" s="24"/>
      <x:c r="F19" s="33"/>
      <x:c r="G19" s="36"/>
      <x:c r="H19" s="36" t="str">
        <x:f>IF(OR(F19="",G19=""),"",F19*G19)</x:f>
      </x:c>
      <x:c r="I19" s="24"/>
      <x:c r="J19" s="36" t="n">
        <x:f>IF(I19="Sim",H19*$B$4,0)</x:f>
        <x:v>0</x:v>
      </x:c>
      <x:c r="K19" s="36" t="str">
        <x:f>IF(H19="","",IF(C19="Receita",H19-J19,-H19-J19))</x:f>
      </x:c>
    </x:row>
    <x:row r="20">
      <x:c r="A20" s="27"/>
      <x:c r="B20" s="30" t="str">
        <x:f>IF(A20="","",DATE(YEAR(A20),MONTH(A20),1))</x:f>
      </x:c>
      <x:c r="C20" s="24"/>
      <x:c r="D20" s="24"/>
      <x:c r="E20" s="24"/>
      <x:c r="F20" s="33"/>
      <x:c r="G20" s="36"/>
      <x:c r="H20" s="36" t="str">
        <x:f>IF(OR(F20="",G20=""),"",F20*G20)</x:f>
      </x:c>
      <x:c r="I20" s="24"/>
      <x:c r="J20" s="36" t="n">
        <x:f>IF(I20="Sim",H20*$B$4,0)</x:f>
        <x:v>0</x:v>
      </x:c>
      <x:c r="K20" s="36" t="str">
        <x:f>IF(H20="","",IF(C20="Receita",H20-J20,-H20-J20))</x:f>
      </x:c>
    </x:row>
    <x:row r="21">
      <x:c r="A21" s="27"/>
      <x:c r="B21" s="30" t="str">
        <x:f>IF(A21="","",DATE(YEAR(A21),MONTH(A21),1))</x:f>
      </x:c>
      <x:c r="C21" s="24"/>
      <x:c r="D21" s="24"/>
      <x:c r="E21" s="24"/>
      <x:c r="F21" s="33"/>
      <x:c r="G21" s="36"/>
      <x:c r="H21" s="36" t="str">
        <x:f>IF(OR(F21="",G21=""),"",F21*G21)</x:f>
      </x:c>
      <x:c r="I21" s="24"/>
      <x:c r="J21" s="36" t="n">
        <x:f>IF(I21="Sim",H21*$B$4,0)</x:f>
        <x:v>0</x:v>
      </x:c>
      <x:c r="K21" s="36" t="str">
        <x:f>IF(H21="","",IF(C21="Receita",H21-J21,-H21-J21))</x:f>
      </x:c>
    </x:row>
    <x:row r="22">
      <x:c r="A22" s="27"/>
      <x:c r="B22" s="30" t="str">
        <x:f>IF(A22="","",DATE(YEAR(A22),MONTH(A22),1))</x:f>
      </x:c>
      <x:c r="C22" s="24"/>
      <x:c r="D22" s="24"/>
      <x:c r="E22" s="24"/>
      <x:c r="F22" s="33"/>
      <x:c r="G22" s="36"/>
      <x:c r="H22" s="36" t="str">
        <x:f>IF(OR(F22="",G22=""),"",F22*G22)</x:f>
      </x:c>
      <x:c r="I22" s="24"/>
      <x:c r="J22" s="36" t="n">
        <x:f>IF(I22="Sim",H22*$B$4,0)</x:f>
        <x:v>0</x:v>
      </x:c>
      <x:c r="K22" s="36" t="str">
        <x:f>IF(H22="","",IF(C22="Receita",H22-J22,-H22-J22))</x:f>
      </x:c>
    </x:row>
    <x:row r="23">
      <x:c r="A23" s="27"/>
      <x:c r="B23" s="30" t="str">
        <x:f>IF(A23="","",DATE(YEAR(A23),MONTH(A23),1))</x:f>
      </x:c>
      <x:c r="C23" s="24"/>
      <x:c r="D23" s="24"/>
      <x:c r="E23" s="24"/>
      <x:c r="F23" s="33"/>
      <x:c r="G23" s="36"/>
      <x:c r="H23" s="36" t="str">
        <x:f>IF(OR(F23="",G23=""),"",F23*G23)</x:f>
      </x:c>
      <x:c r="I23" s="24"/>
      <x:c r="J23" s="36" t="n">
        <x:f>IF(I23="Sim",H23*$B$4,0)</x:f>
        <x:v>0</x:v>
      </x:c>
      <x:c r="K23" s="36" t="str">
        <x:f>IF(H23="","",IF(C23="Receita",H23-J23,-H23-J23))</x:f>
      </x:c>
    </x:row>
    <x:row r="24">
      <x:c r="A24" s="27"/>
      <x:c r="B24" s="30" t="str">
        <x:f>IF(A24="","",DATE(YEAR(A24),MONTH(A24),1))</x:f>
      </x:c>
      <x:c r="C24" s="24"/>
      <x:c r="D24" s="24"/>
      <x:c r="E24" s="24"/>
      <x:c r="F24" s="33"/>
      <x:c r="G24" s="36"/>
      <x:c r="H24" s="36" t="str">
        <x:f>IF(OR(F24="",G24=""),"",F24*G24)</x:f>
      </x:c>
      <x:c r="I24" s="24"/>
      <x:c r="J24" s="36" t="n">
        <x:f>IF(I24="Sim",H24*$B$4,0)</x:f>
        <x:v>0</x:v>
      </x:c>
      <x:c r="K24" s="36" t="str">
        <x:f>IF(H24="","",IF(C24="Receita",H24-J24,-H24-J24))</x:f>
      </x:c>
    </x:row>
    <x:row r="25">
      <x:c r="A25" s="27"/>
      <x:c r="B25" s="30" t="str">
        <x:f>IF(A25="","",DATE(YEAR(A25),MONTH(A25),1))</x:f>
      </x:c>
      <x:c r="C25" s="24"/>
      <x:c r="D25" s="24"/>
      <x:c r="E25" s="24"/>
      <x:c r="F25" s="33"/>
      <x:c r="G25" s="36"/>
      <x:c r="H25" s="36" t="str">
        <x:f>IF(OR(F25="",G25=""),"",F25*G25)</x:f>
      </x:c>
      <x:c r="I25" s="24"/>
      <x:c r="J25" s="36" t="n">
        <x:f>IF(I25="Sim",H25*$B$4,0)</x:f>
        <x:v>0</x:v>
      </x:c>
      <x:c r="K25" s="36" t="str">
        <x:f>IF(H25="","",IF(C25="Receita",H25-J25,-H25-J25))</x:f>
      </x:c>
    </x:row>
    <x:row r="26">
      <x:c r="A26" s="27"/>
      <x:c r="B26" s="30" t="str">
        <x:f>IF(A26="","",DATE(YEAR(A26),MONTH(A26),1))</x:f>
      </x:c>
      <x:c r="C26" s="24"/>
      <x:c r="D26" s="24"/>
      <x:c r="E26" s="24"/>
      <x:c r="F26" s="33"/>
      <x:c r="G26" s="36"/>
      <x:c r="H26" s="36" t="str">
        <x:f>IF(OR(F26="",G26=""),"",F26*G26)</x:f>
      </x:c>
      <x:c r="I26" s="24"/>
      <x:c r="J26" s="36" t="n">
        <x:f>IF(I26="Sim",H26*$B$4,0)</x:f>
        <x:v>0</x:v>
      </x:c>
      <x:c r="K26" s="36" t="str">
        <x:f>IF(H26="","",IF(C26="Receita",H26-J26,-H26-J26))</x:f>
      </x:c>
    </x:row>
    <x:row r="27">
      <x:c r="A27" s="27"/>
      <x:c r="B27" s="30" t="str">
        <x:f>IF(A27="","",DATE(YEAR(A27),MONTH(A27),1))</x:f>
      </x:c>
      <x:c r="C27" s="24"/>
      <x:c r="D27" s="24"/>
      <x:c r="E27" s="24"/>
      <x:c r="F27" s="33"/>
      <x:c r="G27" s="36"/>
      <x:c r="H27" s="36" t="str">
        <x:f>IF(OR(F27="",G27=""),"",F27*G27)</x:f>
      </x:c>
      <x:c r="I27" s="24"/>
      <x:c r="J27" s="36" t="n">
        <x:f>IF(I27="Sim",H27*$B$4,0)</x:f>
        <x:v>0</x:v>
      </x:c>
      <x:c r="K27" s="36" t="str">
        <x:f>IF(H27="","",IF(C27="Receita",H27-J27,-H27-J27))</x:f>
      </x:c>
    </x:row>
    <x:row r="28">
      <x:c r="A28" s="27"/>
      <x:c r="B28" s="30" t="str">
        <x:f>IF(A28="","",DATE(YEAR(A28),MONTH(A28),1))</x:f>
      </x:c>
      <x:c r="C28" s="24"/>
      <x:c r="D28" s="24"/>
      <x:c r="E28" s="24"/>
      <x:c r="F28" s="33"/>
      <x:c r="G28" s="36"/>
      <x:c r="H28" s="36" t="str">
        <x:f>IF(OR(F28="",G28=""),"",F28*G28)</x:f>
      </x:c>
      <x:c r="I28" s="24"/>
      <x:c r="J28" s="36" t="n">
        <x:f>IF(I28="Sim",H28*$B$4,0)</x:f>
        <x:v>0</x:v>
      </x:c>
      <x:c r="K28" s="36" t="str">
        <x:f>IF(H28="","",IF(C28="Receita",H28-J28,-H28-J28))</x:f>
      </x:c>
    </x:row>
    <x:row r="29">
      <x:c r="A29" s="27"/>
      <x:c r="B29" s="30" t="str">
        <x:f>IF(A29="","",DATE(YEAR(A29),MONTH(A29),1))</x:f>
      </x:c>
      <x:c r="C29" s="24"/>
      <x:c r="D29" s="24"/>
      <x:c r="E29" s="24"/>
      <x:c r="F29" s="33"/>
      <x:c r="G29" s="36"/>
      <x:c r="H29" s="36" t="str">
        <x:f>IF(OR(F29="",G29=""),"",F29*G29)</x:f>
      </x:c>
      <x:c r="I29" s="24"/>
      <x:c r="J29" s="36" t="n">
        <x:f>IF(I29="Sim",H29*$B$4,0)</x:f>
        <x:v>0</x:v>
      </x:c>
      <x:c r="K29" s="36" t="str">
        <x:f>IF(H29="","",IF(C29="Receita",H29-J29,-H29-J29))</x:f>
      </x:c>
    </x:row>
    <x:row r="30">
      <x:c r="A30" s="27"/>
      <x:c r="B30" s="30" t="str">
        <x:f>IF(A30="","",DATE(YEAR(A30),MONTH(A30),1))</x:f>
      </x:c>
      <x:c r="C30" s="24"/>
      <x:c r="D30" s="24"/>
      <x:c r="E30" s="24"/>
      <x:c r="F30" s="33"/>
      <x:c r="G30" s="36"/>
      <x:c r="H30" s="36" t="str">
        <x:f>IF(OR(F30="",G30=""),"",F30*G30)</x:f>
      </x:c>
      <x:c r="I30" s="24"/>
      <x:c r="J30" s="36" t="n">
        <x:f>IF(I30="Sim",H30*$B$4,0)</x:f>
        <x:v>0</x:v>
      </x:c>
      <x:c r="K30" s="36" t="str">
        <x:f>IF(H30="","",IF(C30="Receita",H30-J30,-H30-J30))</x:f>
      </x:c>
    </x:row>
    <x:row r="31">
      <x:c r="A31" s="27"/>
      <x:c r="B31" s="30" t="str">
        <x:f>IF(A31="","",DATE(YEAR(A31),MONTH(A31),1))</x:f>
      </x:c>
      <x:c r="C31" s="24"/>
      <x:c r="D31" s="24"/>
      <x:c r="E31" s="24"/>
      <x:c r="F31" s="33"/>
      <x:c r="G31" s="36"/>
      <x:c r="H31" s="36" t="str">
        <x:f>IF(OR(F31="",G31=""),"",F31*G31)</x:f>
      </x:c>
      <x:c r="I31" s="24"/>
      <x:c r="J31" s="36" t="n">
        <x:f>IF(I31="Sim",H31*$B$4,0)</x:f>
        <x:v>0</x:v>
      </x:c>
      <x:c r="K31" s="36" t="str">
        <x:f>IF(H31="","",IF(C31="Receita",H31-J31,-H31-J31))</x:f>
      </x:c>
    </x:row>
    <x:row r="32">
      <x:c r="A32" s="27"/>
      <x:c r="B32" s="30" t="str">
        <x:f>IF(A32="","",DATE(YEAR(A32),MONTH(A32),1))</x:f>
      </x:c>
      <x:c r="C32" s="24"/>
      <x:c r="D32" s="24"/>
      <x:c r="E32" s="24"/>
      <x:c r="F32" s="33"/>
      <x:c r="G32" s="36"/>
      <x:c r="H32" s="36" t="str">
        <x:f>IF(OR(F32="",G32=""),"",F32*G32)</x:f>
      </x:c>
      <x:c r="I32" s="24"/>
      <x:c r="J32" s="36" t="n">
        <x:f>IF(I32="Sim",H32*$B$4,0)</x:f>
        <x:v>0</x:v>
      </x:c>
      <x:c r="K32" s="36" t="str">
        <x:f>IF(H32="","",IF(C32="Receita",H32-J32,-H32-J32))</x:f>
      </x:c>
    </x:row>
    <x:row r="33">
      <x:c r="A33" s="27"/>
      <x:c r="B33" s="30" t="str">
        <x:f>IF(A33="","",DATE(YEAR(A33),MONTH(A33),1))</x:f>
      </x:c>
      <x:c r="C33" s="24"/>
      <x:c r="D33" s="24"/>
      <x:c r="E33" s="24"/>
      <x:c r="F33" s="33"/>
      <x:c r="G33" s="36"/>
      <x:c r="H33" s="36" t="str">
        <x:f>IF(OR(F33="",G33=""),"",F33*G33)</x:f>
      </x:c>
      <x:c r="I33" s="24"/>
      <x:c r="J33" s="36" t="n">
        <x:f>IF(I33="Sim",H33*$B$4,0)</x:f>
        <x:v>0</x:v>
      </x:c>
      <x:c r="K33" s="36" t="str">
        <x:f>IF(H33="","",IF(C33="Receita",H33-J33,-H33-J33))</x:f>
      </x:c>
    </x:row>
    <x:row r="34">
      <x:c r="A34" s="27"/>
      <x:c r="B34" s="30" t="str">
        <x:f>IF(A34="","",DATE(YEAR(A34),MONTH(A34),1))</x:f>
      </x:c>
      <x:c r="C34" s="24"/>
      <x:c r="D34" s="24"/>
      <x:c r="E34" s="24"/>
      <x:c r="F34" s="33"/>
      <x:c r="G34" s="36"/>
      <x:c r="H34" s="36" t="str">
        <x:f>IF(OR(F34="",G34=""),"",F34*G34)</x:f>
      </x:c>
      <x:c r="I34" s="24"/>
      <x:c r="J34" s="36" t="n">
        <x:f>IF(I34="Sim",H34*$B$4,0)</x:f>
        <x:v>0</x:v>
      </x:c>
      <x:c r="K34" s="36" t="str">
        <x:f>IF(H34="","",IF(C34="Receita",H34-J34,-H34-J34))</x:f>
      </x:c>
    </x:row>
    <x:row r="35">
      <x:c r="A35" s="27"/>
      <x:c r="B35" s="30" t="str">
        <x:f>IF(A35="","",DATE(YEAR(A35),MONTH(A35),1))</x:f>
      </x:c>
      <x:c r="C35" s="24"/>
      <x:c r="D35" s="24"/>
      <x:c r="E35" s="24"/>
      <x:c r="F35" s="33"/>
      <x:c r="G35" s="36"/>
      <x:c r="H35" s="36" t="str">
        <x:f>IF(OR(F35="",G35=""),"",F35*G35)</x:f>
      </x:c>
      <x:c r="I35" s="24"/>
      <x:c r="J35" s="36" t="n">
        <x:f>IF(I35="Sim",H35*$B$4,0)</x:f>
        <x:v>0</x:v>
      </x:c>
      <x:c r="K35" s="36" t="str">
        <x:f>IF(H35="","",IF(C35="Receita",H35-J35,-H35-J35))</x:f>
      </x:c>
    </x:row>
    <x:row r="36">
      <x:c r="A36" s="27"/>
      <x:c r="B36" s="30" t="str">
        <x:f>IF(A36="","",DATE(YEAR(A36),MONTH(A36),1))</x:f>
      </x:c>
      <x:c r="C36" s="24"/>
      <x:c r="D36" s="24"/>
      <x:c r="E36" s="24"/>
      <x:c r="F36" s="33"/>
      <x:c r="G36" s="36"/>
      <x:c r="H36" s="36" t="str">
        <x:f>IF(OR(F36="",G36=""),"",F36*G36)</x:f>
      </x:c>
      <x:c r="I36" s="24"/>
      <x:c r="J36" s="36" t="n">
        <x:f>IF(I36="Sim",H36*$B$4,0)</x:f>
        <x:v>0</x:v>
      </x:c>
      <x:c r="K36" s="36" t="str">
        <x:f>IF(H36="","",IF(C36="Receita",H36-J36,-H36-J36))</x:f>
      </x:c>
    </x:row>
    <x:row r="37">
      <x:c r="A37" s="27"/>
      <x:c r="B37" s="30" t="str">
        <x:f>IF(A37="","",DATE(YEAR(A37),MONTH(A37),1))</x:f>
      </x:c>
      <x:c r="C37" s="24"/>
      <x:c r="D37" s="24"/>
      <x:c r="E37" s="24"/>
      <x:c r="F37" s="33"/>
      <x:c r="G37" s="36"/>
      <x:c r="H37" s="36" t="str">
        <x:f>IF(OR(F37="",G37=""),"",F37*G37)</x:f>
      </x:c>
      <x:c r="I37" s="24"/>
      <x:c r="J37" s="36" t="n">
        <x:f>IF(I37="Sim",H37*$B$4,0)</x:f>
        <x:v>0</x:v>
      </x:c>
      <x:c r="K37" s="36" t="str">
        <x:f>IF(H37="","",IF(C37="Receita",H37-J37,-H37-J37))</x:f>
      </x:c>
    </x:row>
    <x:row r="38">
      <x:c r="A38" s="27"/>
      <x:c r="B38" s="30" t="str">
        <x:f>IF(A38="","",DATE(YEAR(A38),MONTH(A38),1))</x:f>
      </x:c>
      <x:c r="C38" s="24"/>
      <x:c r="D38" s="24"/>
      <x:c r="E38" s="24"/>
      <x:c r="F38" s="33"/>
      <x:c r="G38" s="36"/>
      <x:c r="H38" s="36" t="str">
        <x:f>IF(OR(F38="",G38=""),"",F38*G38)</x:f>
      </x:c>
      <x:c r="I38" s="24"/>
      <x:c r="J38" s="36" t="n">
        <x:f>IF(I38="Sim",H38*$B$4,0)</x:f>
        <x:v>0</x:v>
      </x:c>
      <x:c r="K38" s="36" t="str">
        <x:f>IF(H38="","",IF(C38="Receita",H38-J38,-H38-J38))</x:f>
      </x:c>
    </x:row>
    <x:row r="39">
      <x:c r="A39" s="27"/>
      <x:c r="B39" s="30" t="str">
        <x:f>IF(A39="","",DATE(YEAR(A39),MONTH(A39),1))</x:f>
      </x:c>
      <x:c r="C39" s="24"/>
      <x:c r="D39" s="24"/>
      <x:c r="E39" s="24"/>
      <x:c r="F39" s="33"/>
      <x:c r="G39" s="36"/>
      <x:c r="H39" s="36" t="str">
        <x:f>IF(OR(F39="",G39=""),"",F39*G39)</x:f>
      </x:c>
      <x:c r="I39" s="24"/>
      <x:c r="J39" s="36" t="n">
        <x:f>IF(I39="Sim",H39*$B$4,0)</x:f>
        <x:v>0</x:v>
      </x:c>
      <x:c r="K39" s="36" t="str">
        <x:f>IF(H39="","",IF(C39="Receita",H39-J39,-H39-J39))</x:f>
      </x:c>
    </x:row>
    <x:row r="40">
      <x:c r="A40" s="27"/>
      <x:c r="B40" s="30" t="str">
        <x:f>IF(A40="","",DATE(YEAR(A40),MONTH(A40),1))</x:f>
      </x:c>
      <x:c r="C40" s="24"/>
      <x:c r="D40" s="24"/>
      <x:c r="E40" s="24"/>
      <x:c r="F40" s="33"/>
      <x:c r="G40" s="36"/>
      <x:c r="H40" s="36" t="str">
        <x:f>IF(OR(F40="",G40=""),"",F40*G40)</x:f>
      </x:c>
      <x:c r="I40" s="24"/>
      <x:c r="J40" s="36" t="n">
        <x:f>IF(I40="Sim",H40*$B$4,0)</x:f>
        <x:v>0</x:v>
      </x:c>
      <x:c r="K40" s="36" t="str">
        <x:f>IF(H40="","",IF(C40="Receita",H40-J40,-H40-J40))</x:f>
      </x:c>
    </x:row>
    <x:row r="41">
      <x:c r="A41" s="27"/>
      <x:c r="B41" s="30" t="str">
        <x:f>IF(A41="","",DATE(YEAR(A41),MONTH(A41),1))</x:f>
      </x:c>
      <x:c r="C41" s="24"/>
      <x:c r="D41" s="24"/>
      <x:c r="E41" s="24"/>
      <x:c r="F41" s="33"/>
      <x:c r="G41" s="36"/>
      <x:c r="H41" s="36" t="str">
        <x:f>IF(OR(F41="",G41=""),"",F41*G41)</x:f>
      </x:c>
      <x:c r="I41" s="24"/>
      <x:c r="J41" s="36" t="n">
        <x:f>IF(I41="Sim",H41*$B$4,0)</x:f>
        <x:v>0</x:v>
      </x:c>
      <x:c r="K41" s="36" t="str">
        <x:f>IF(H41="","",IF(C41="Receita",H41-J41,-H41-J41))</x:f>
      </x:c>
    </x:row>
    <x:row r="42">
      <x:c r="A42" s="27"/>
      <x:c r="B42" s="30" t="str">
        <x:f>IF(A42="","",DATE(YEAR(A42),MONTH(A42),1))</x:f>
      </x:c>
      <x:c r="C42" s="24"/>
      <x:c r="D42" s="24"/>
      <x:c r="E42" s="24"/>
      <x:c r="F42" s="33"/>
      <x:c r="G42" s="36"/>
      <x:c r="H42" s="36" t="str">
        <x:f>IF(OR(F42="",G42=""),"",F42*G42)</x:f>
      </x:c>
      <x:c r="I42" s="24"/>
      <x:c r="J42" s="36" t="n">
        <x:f>IF(I42="Sim",H42*$B$4,0)</x:f>
        <x:v>0</x:v>
      </x:c>
      <x:c r="K42" s="36" t="str">
        <x:f>IF(H42="","",IF(C42="Receita",H42-J42,-H42-J42))</x:f>
      </x:c>
    </x:row>
    <x:row r="43">
      <x:c r="A43" s="27"/>
      <x:c r="B43" s="30" t="str">
        <x:f>IF(A43="","",DATE(YEAR(A43),MONTH(A43),1))</x:f>
      </x:c>
      <x:c r="C43" s="24"/>
      <x:c r="D43" s="24"/>
      <x:c r="E43" s="24"/>
      <x:c r="F43" s="33"/>
      <x:c r="G43" s="36"/>
      <x:c r="H43" s="36" t="str">
        <x:f>IF(OR(F43="",G43=""),"",F43*G43)</x:f>
      </x:c>
      <x:c r="I43" s="24"/>
      <x:c r="J43" s="36" t="n">
        <x:f>IF(I43="Sim",H43*$B$4,0)</x:f>
        <x:v>0</x:v>
      </x:c>
      <x:c r="K43" s="36" t="str">
        <x:f>IF(H43="","",IF(C43="Receita",H43-J43,-H43-J43))</x:f>
      </x:c>
    </x:row>
    <x:row r="44">
      <x:c r="A44" s="27"/>
      <x:c r="B44" s="30" t="str">
        <x:f>IF(A44="","",DATE(YEAR(A44),MONTH(A44),1))</x:f>
      </x:c>
      <x:c r="C44" s="24"/>
      <x:c r="D44" s="24"/>
      <x:c r="E44" s="24"/>
      <x:c r="F44" s="33"/>
      <x:c r="G44" s="36"/>
      <x:c r="H44" s="36" t="str">
        <x:f>IF(OR(F44="",G44=""),"",F44*G44)</x:f>
      </x:c>
      <x:c r="I44" s="24"/>
      <x:c r="J44" s="36" t="n">
        <x:f>IF(I44="Sim",H44*$B$4,0)</x:f>
        <x:v>0</x:v>
      </x:c>
      <x:c r="K44" s="36" t="str">
        <x:f>IF(H44="","",IF(C44="Receita",H44-J44,-H44-J44))</x:f>
      </x:c>
    </x:row>
    <x:row r="45">
      <x:c r="A45" s="27"/>
      <x:c r="B45" s="30" t="str">
        <x:f>IF(A45="","",DATE(YEAR(A45),MONTH(A45),1))</x:f>
      </x:c>
      <x:c r="C45" s="24"/>
      <x:c r="D45" s="24"/>
      <x:c r="E45" s="24"/>
      <x:c r="F45" s="33"/>
      <x:c r="G45" s="36"/>
      <x:c r="H45" s="36" t="str">
        <x:f>IF(OR(F45="",G45=""),"",F45*G45)</x:f>
      </x:c>
      <x:c r="I45" s="24"/>
      <x:c r="J45" s="36" t="n">
        <x:f>IF(I45="Sim",H45*$B$4,0)</x:f>
        <x:v>0</x:v>
      </x:c>
      <x:c r="K45" s="36" t="str">
        <x:f>IF(H45="","",IF(C45="Receita",H45-J45,-H45-J45))</x:f>
      </x:c>
    </x:row>
    <x:row r="46">
      <x:c r="A46" s="27"/>
      <x:c r="B46" s="30" t="str">
        <x:f>IF(A46="","",DATE(YEAR(A46),MONTH(A46),1))</x:f>
      </x:c>
      <x:c r="C46" s="24"/>
      <x:c r="D46" s="24"/>
      <x:c r="E46" s="24"/>
      <x:c r="F46" s="33"/>
      <x:c r="G46" s="36"/>
      <x:c r="H46" s="36" t="str">
        <x:f>IF(OR(F46="",G46=""),"",F46*G46)</x:f>
      </x:c>
      <x:c r="I46" s="24"/>
      <x:c r="J46" s="36" t="n">
        <x:f>IF(I46="Sim",H46*$B$4,0)</x:f>
        <x:v>0</x:v>
      </x:c>
      <x:c r="K46" s="36" t="str">
        <x:f>IF(H46="","",IF(C46="Receita",H46-J46,-H46-J46))</x:f>
      </x:c>
    </x:row>
    <x:row r="47">
      <x:c r="A47" s="27"/>
      <x:c r="B47" s="30" t="str">
        <x:f>IF(A47="","",DATE(YEAR(A47),MONTH(A47),1))</x:f>
      </x:c>
      <x:c r="C47" s="24"/>
      <x:c r="D47" s="24"/>
      <x:c r="E47" s="24"/>
      <x:c r="F47" s="33"/>
      <x:c r="G47" s="36"/>
      <x:c r="H47" s="36" t="str">
        <x:f>IF(OR(F47="",G47=""),"",F47*G47)</x:f>
      </x:c>
      <x:c r="I47" s="24"/>
      <x:c r="J47" s="36" t="n">
        <x:f>IF(I47="Sim",H47*$B$4,0)</x:f>
        <x:v>0</x:v>
      </x:c>
      <x:c r="K47" s="36" t="str">
        <x:f>IF(H47="","",IF(C47="Receita",H47-J47,-H47-J47))</x:f>
      </x:c>
    </x:row>
    <x:row r="48">
      <x:c r="A48" s="27"/>
      <x:c r="B48" s="30" t="str">
        <x:f>IF(A48="","",DATE(YEAR(A48),MONTH(A48),1))</x:f>
      </x:c>
      <x:c r="C48" s="24"/>
      <x:c r="D48" s="24"/>
      <x:c r="E48" s="24"/>
      <x:c r="F48" s="33"/>
      <x:c r="G48" s="36"/>
      <x:c r="H48" s="36" t="str">
        <x:f>IF(OR(F48="",G48=""),"",F48*G48)</x:f>
      </x:c>
      <x:c r="I48" s="24"/>
      <x:c r="J48" s="36" t="n">
        <x:f>IF(I48="Sim",H48*$B$4,0)</x:f>
        <x:v>0</x:v>
      </x:c>
      <x:c r="K48" s="36" t="str">
        <x:f>IF(H48="","",IF(C48="Receita",H48-J48,-H48-J48))</x:f>
      </x:c>
    </x:row>
    <x:row r="49">
      <x:c r="A49" s="27"/>
      <x:c r="B49" s="30" t="str">
        <x:f>IF(A49="","",DATE(YEAR(A49),MONTH(A49),1))</x:f>
      </x:c>
      <x:c r="C49" s="24"/>
      <x:c r="D49" s="24"/>
      <x:c r="E49" s="24"/>
      <x:c r="F49" s="33"/>
      <x:c r="G49" s="36"/>
      <x:c r="H49" s="36" t="str">
        <x:f>IF(OR(F49="",G49=""),"",F49*G49)</x:f>
      </x:c>
      <x:c r="I49" s="24"/>
      <x:c r="J49" s="36" t="n">
        <x:f>IF(I49="Sim",H49*$B$4,0)</x:f>
        <x:v>0</x:v>
      </x:c>
      <x:c r="K49" s="36" t="str">
        <x:f>IF(H49="","",IF(C49="Receita",H49-J49,-H49-J49))</x:f>
      </x:c>
    </x:row>
    <x:row r="50">
      <x:c r="A50" s="27"/>
      <x:c r="B50" s="30" t="str">
        <x:f>IF(A50="","",DATE(YEAR(A50),MONTH(A50),1))</x:f>
      </x:c>
      <x:c r="C50" s="24"/>
      <x:c r="D50" s="24"/>
      <x:c r="E50" s="24"/>
      <x:c r="F50" s="33"/>
      <x:c r="G50" s="36"/>
      <x:c r="H50" s="36" t="str">
        <x:f>IF(OR(F50="",G50=""),"",F50*G50)</x:f>
      </x:c>
      <x:c r="I50" s="24"/>
      <x:c r="J50" s="36" t="n">
        <x:f>IF(I50="Sim",H50*$B$4,0)</x:f>
        <x:v>0</x:v>
      </x:c>
      <x:c r="K50" s="36" t="str">
        <x:f>IF(H50="","",IF(C50="Receita",H50-J50,-H50-J50))</x:f>
      </x:c>
    </x:row>
    <x:row r="51">
      <x:c r="A51" s="27"/>
      <x:c r="B51" s="30" t="str">
        <x:f>IF(A51="","",DATE(YEAR(A51),MONTH(A51),1))</x:f>
      </x:c>
      <x:c r="C51" s="24"/>
      <x:c r="D51" s="24"/>
      <x:c r="E51" s="24"/>
      <x:c r="F51" s="33"/>
      <x:c r="G51" s="36"/>
      <x:c r="H51" s="36" t="str">
        <x:f>IF(OR(F51="",G51=""),"",F51*G51)</x:f>
      </x:c>
      <x:c r="I51" s="24"/>
      <x:c r="J51" s="36" t="n">
        <x:f>IF(I51="Sim",H51*$B$4,0)</x:f>
        <x:v>0</x:v>
      </x:c>
      <x:c r="K51" s="36" t="str">
        <x:f>IF(H51="","",IF(C51="Receita",H51-J51,-H51-J51))</x:f>
      </x:c>
    </x:row>
    <x:row r="52">
      <x:c r="A52" s="27"/>
      <x:c r="B52" s="30" t="str">
        <x:f>IF(A52="","",DATE(YEAR(A52),MONTH(A52),1))</x:f>
      </x:c>
      <x:c r="C52" s="24"/>
      <x:c r="D52" s="24"/>
      <x:c r="E52" s="24"/>
      <x:c r="F52" s="33"/>
      <x:c r="G52" s="36"/>
      <x:c r="H52" s="36" t="str">
        <x:f>IF(OR(F52="",G52=""),"",F52*G52)</x:f>
      </x:c>
      <x:c r="I52" s="24"/>
      <x:c r="J52" s="36" t="n">
        <x:f>IF(I52="Sim",H52*$B$4,0)</x:f>
        <x:v>0</x:v>
      </x:c>
      <x:c r="K52" s="36" t="str">
        <x:f>IF(H52="","",IF(C52="Receita",H52-J52,-H52-J52))</x:f>
      </x:c>
    </x:row>
    <x:row r="53">
      <x:c r="A53" s="27"/>
      <x:c r="B53" s="30" t="str">
        <x:f>IF(A53="","",DATE(YEAR(A53),MONTH(A53),1))</x:f>
      </x:c>
      <x:c r="C53" s="24"/>
      <x:c r="D53" s="24"/>
      <x:c r="E53" s="24"/>
      <x:c r="F53" s="33"/>
      <x:c r="G53" s="36"/>
      <x:c r="H53" s="36" t="str">
        <x:f>IF(OR(F53="",G53=""),"",F53*G53)</x:f>
      </x:c>
      <x:c r="I53" s="24"/>
      <x:c r="J53" s="36" t="n">
        <x:f>IF(I53="Sim",H53*$B$4,0)</x:f>
        <x:v>0</x:v>
      </x:c>
      <x:c r="K53" s="36" t="str">
        <x:f>IF(H53="","",IF(C53="Receita",H53-J53,-H53-J53))</x:f>
      </x:c>
    </x:row>
    <x:row r="54">
      <x:c r="A54" s="27"/>
      <x:c r="B54" s="30" t="str">
        <x:f>IF(A54="","",DATE(YEAR(A54),MONTH(A54),1))</x:f>
      </x:c>
      <x:c r="C54" s="24"/>
      <x:c r="D54" s="24"/>
      <x:c r="E54" s="24"/>
      <x:c r="F54" s="33"/>
      <x:c r="G54" s="36"/>
      <x:c r="H54" s="36" t="str">
        <x:f>IF(OR(F54="",G54=""),"",F54*G54)</x:f>
      </x:c>
      <x:c r="I54" s="24"/>
      <x:c r="J54" s="36" t="n">
        <x:f>IF(I54="Sim",H54*$B$4,0)</x:f>
        <x:v>0</x:v>
      </x:c>
      <x:c r="K54" s="36" t="str">
        <x:f>IF(H54="","",IF(C54="Receita",H54-J54,-H54-J54))</x:f>
      </x:c>
    </x:row>
    <x:row r="55">
      <x:c r="A55" s="27"/>
      <x:c r="B55" s="30" t="str">
        <x:f>IF(A55="","",DATE(YEAR(A55),MONTH(A55),1))</x:f>
      </x:c>
      <x:c r="C55" s="24"/>
      <x:c r="D55" s="24"/>
      <x:c r="E55" s="24"/>
      <x:c r="F55" s="33"/>
      <x:c r="G55" s="36"/>
      <x:c r="H55" s="36" t="str">
        <x:f>IF(OR(F55="",G55=""),"",F55*G55)</x:f>
      </x:c>
      <x:c r="I55" s="24"/>
      <x:c r="J55" s="36" t="n">
        <x:f>IF(I55="Sim",H55*$B$4,0)</x:f>
        <x:v>0</x:v>
      </x:c>
      <x:c r="K55" s="36" t="str">
        <x:f>IF(H55="","",IF(C55="Receita",H55-J55,-H55-J55))</x:f>
      </x:c>
    </x:row>
    <x:row r="56">
      <x:c r="A56" s="27"/>
      <x:c r="B56" s="30" t="str">
        <x:f>IF(A56="","",DATE(YEAR(A56),MONTH(A56),1))</x:f>
      </x:c>
      <x:c r="C56" s="24"/>
      <x:c r="D56" s="24"/>
      <x:c r="E56" s="24"/>
      <x:c r="F56" s="33"/>
      <x:c r="G56" s="36"/>
      <x:c r="H56" s="36" t="str">
        <x:f>IF(OR(F56="",G56=""),"",F56*G56)</x:f>
      </x:c>
      <x:c r="I56" s="24"/>
      <x:c r="J56" s="36" t="n">
        <x:f>IF(I56="Sim",H56*$B$4,0)</x:f>
        <x:v>0</x:v>
      </x:c>
      <x:c r="K56" s="36" t="str">
        <x:f>IF(H56="","",IF(C56="Receita",H56-J56,-H56-J56))</x:f>
      </x:c>
    </x:row>
    <x:row r="57">
      <x:c r="A57" s="27"/>
      <x:c r="B57" s="30" t="str">
        <x:f>IF(A57="","",DATE(YEAR(A57),MONTH(A57),1))</x:f>
      </x:c>
      <x:c r="C57" s="24"/>
      <x:c r="D57" s="24"/>
      <x:c r="E57" s="24"/>
      <x:c r="F57" s="33"/>
      <x:c r="G57" s="36"/>
      <x:c r="H57" s="36" t="str">
        <x:f>IF(OR(F57="",G57=""),"",F57*G57)</x:f>
      </x:c>
      <x:c r="I57" s="24"/>
      <x:c r="J57" s="36" t="n">
        <x:f>IF(I57="Sim",H57*$B$4,0)</x:f>
        <x:v>0</x:v>
      </x:c>
      <x:c r="K57" s="36" t="str">
        <x:f>IF(H57="","",IF(C57="Receita",H57-J57,-H57-J57))</x:f>
      </x:c>
    </x:row>
    <x:row r="58">
      <x:c r="A58" s="27"/>
      <x:c r="B58" s="30" t="str">
        <x:f>IF(A58="","",DATE(YEAR(A58),MONTH(A58),1))</x:f>
      </x:c>
      <x:c r="C58" s="24"/>
      <x:c r="D58" s="24"/>
      <x:c r="E58" s="24"/>
      <x:c r="F58" s="33"/>
      <x:c r="G58" s="36"/>
      <x:c r="H58" s="36" t="str">
        <x:f>IF(OR(F58="",G58=""),"",F58*G58)</x:f>
      </x:c>
      <x:c r="I58" s="24"/>
      <x:c r="J58" s="36" t="n">
        <x:f>IF(I58="Sim",H58*$B$4,0)</x:f>
        <x:v>0</x:v>
      </x:c>
      <x:c r="K58" s="36" t="str">
        <x:f>IF(H58="","",IF(C58="Receita",H58-J58,-H58-J58))</x:f>
      </x:c>
    </x:row>
    <x:row r="59">
      <x:c r="A59" s="27"/>
      <x:c r="B59" s="30" t="str">
        <x:f>IF(A59="","",DATE(YEAR(A59),MONTH(A59),1))</x:f>
      </x:c>
      <x:c r="C59" s="24"/>
      <x:c r="D59" s="24"/>
      <x:c r="E59" s="24"/>
      <x:c r="F59" s="33"/>
      <x:c r="G59" s="36"/>
      <x:c r="H59" s="36" t="str">
        <x:f>IF(OR(F59="",G59=""),"",F59*G59)</x:f>
      </x:c>
      <x:c r="I59" s="24"/>
      <x:c r="J59" s="36" t="n">
        <x:f>IF(I59="Sim",H59*$B$4,0)</x:f>
        <x:v>0</x:v>
      </x:c>
      <x:c r="K59" s="36" t="str">
        <x:f>IF(H59="","",IF(C59="Receita",H59-J59,-H59-J59))</x:f>
      </x:c>
    </x:row>
    <x:row r="60">
      <x:c r="A60" s="27"/>
      <x:c r="B60" s="30" t="str">
        <x:f>IF(A60="","",DATE(YEAR(A60),MONTH(A60),1))</x:f>
      </x:c>
      <x:c r="C60" s="24"/>
      <x:c r="D60" s="24"/>
      <x:c r="E60" s="24"/>
      <x:c r="F60" s="33"/>
      <x:c r="G60" s="36"/>
      <x:c r="H60" s="36" t="str">
        <x:f>IF(OR(F60="",G60=""),"",F60*G60)</x:f>
      </x:c>
      <x:c r="I60" s="24"/>
      <x:c r="J60" s="36" t="n">
        <x:f>IF(I60="Sim",H60*$B$4,0)</x:f>
        <x:v>0</x:v>
      </x:c>
      <x:c r="K60" s="36" t="str">
        <x:f>IF(H60="","",IF(C60="Receita",H60-J60,-H60-J60))</x:f>
      </x:c>
    </x:row>
    <x:row r="61">
      <x:c r="A61" s="27"/>
      <x:c r="B61" s="30" t="str">
        <x:f>IF(A61="","",DATE(YEAR(A61),MONTH(A61),1))</x:f>
      </x:c>
      <x:c r="C61" s="24"/>
      <x:c r="D61" s="24"/>
      <x:c r="E61" s="24"/>
      <x:c r="F61" s="33"/>
      <x:c r="G61" s="36"/>
      <x:c r="H61" s="36" t="str">
        <x:f>IF(OR(F61="",G61=""),"",F61*G61)</x:f>
      </x:c>
      <x:c r="I61" s="24"/>
      <x:c r="J61" s="36" t="n">
        <x:f>IF(I61="Sim",H61*$B$4,0)</x:f>
        <x:v>0</x:v>
      </x:c>
      <x:c r="K61" s="36" t="str">
        <x:f>IF(H61="","",IF(C61="Receita",H61-J61,-H61-J61))</x:f>
      </x:c>
    </x:row>
    <x:row r="62">
      <x:c r="A62" s="27"/>
      <x:c r="B62" s="30" t="str">
        <x:f>IF(A62="","",DATE(YEAR(A62),MONTH(A62),1))</x:f>
      </x:c>
      <x:c r="C62" s="24"/>
      <x:c r="D62" s="24"/>
      <x:c r="E62" s="24"/>
      <x:c r="F62" s="33"/>
      <x:c r="G62" s="36"/>
      <x:c r="H62" s="36" t="str">
        <x:f>IF(OR(F62="",G62=""),"",F62*G62)</x:f>
      </x:c>
      <x:c r="I62" s="24"/>
      <x:c r="J62" s="36" t="n">
        <x:f>IF(I62="Sim",H62*$B$4,0)</x:f>
        <x:v>0</x:v>
      </x:c>
      <x:c r="K62" s="36" t="str">
        <x:f>IF(H62="","",IF(C62="Receita",H62-J62,-H62-J62))</x:f>
      </x:c>
    </x:row>
    <x:row r="63">
      <x:c r="A63" s="27"/>
      <x:c r="B63" s="30" t="str">
        <x:f>IF(A63="","",DATE(YEAR(A63),MONTH(A63),1))</x:f>
      </x:c>
      <x:c r="C63" s="24"/>
      <x:c r="D63" s="24"/>
      <x:c r="E63" s="24"/>
      <x:c r="F63" s="33"/>
      <x:c r="G63" s="36"/>
      <x:c r="H63" s="36" t="str">
        <x:f>IF(OR(F63="",G63=""),"",F63*G63)</x:f>
      </x:c>
      <x:c r="I63" s="24"/>
      <x:c r="J63" s="36" t="n">
        <x:f>IF(I63="Sim",H63*$B$4,0)</x:f>
        <x:v>0</x:v>
      </x:c>
      <x:c r="K63" s="36" t="str">
        <x:f>IF(H63="","",IF(C63="Receita",H63-J63,-H63-J63))</x:f>
      </x:c>
    </x:row>
    <x:row r="64">
      <x:c r="A64" s="27"/>
      <x:c r="B64" s="30" t="str">
        <x:f>IF(A64="","",DATE(YEAR(A64),MONTH(A64),1))</x:f>
      </x:c>
      <x:c r="C64" s="24"/>
      <x:c r="D64" s="24"/>
      <x:c r="E64" s="24"/>
      <x:c r="F64" s="33"/>
      <x:c r="G64" s="36"/>
      <x:c r="H64" s="36" t="str">
        <x:f>IF(OR(F64="",G64=""),"",F64*G64)</x:f>
      </x:c>
      <x:c r="I64" s="24"/>
      <x:c r="J64" s="36" t="n">
        <x:f>IF(I64="Sim",H64*$B$4,0)</x:f>
        <x:v>0</x:v>
      </x:c>
      <x:c r="K64" s="36" t="str">
        <x:f>IF(H64="","",IF(C64="Receita",H64-J64,-H64-J64))</x:f>
      </x:c>
    </x:row>
    <x:row r="65">
      <x:c r="A65" s="27"/>
      <x:c r="B65" s="30" t="str">
        <x:f>IF(A65="","",DATE(YEAR(A65),MONTH(A65),1))</x:f>
      </x:c>
      <x:c r="C65" s="24"/>
      <x:c r="D65" s="24"/>
      <x:c r="E65" s="24"/>
      <x:c r="F65" s="33"/>
      <x:c r="G65" s="36"/>
      <x:c r="H65" s="36" t="str">
        <x:f>IF(OR(F65="",G65=""),"",F65*G65)</x:f>
      </x:c>
      <x:c r="I65" s="24"/>
      <x:c r="J65" s="36" t="n">
        <x:f>IF(I65="Sim",H65*$B$4,0)</x:f>
        <x:v>0</x:v>
      </x:c>
      <x:c r="K65" s="36" t="str">
        <x:f>IF(H65="","",IF(C65="Receita",H65-J65,-H65-J65))</x:f>
      </x:c>
    </x:row>
    <x:row r="66">
      <x:c r="A66" s="27"/>
      <x:c r="B66" s="30" t="str">
        <x:f>IF(A66="","",DATE(YEAR(A66),MONTH(A66),1))</x:f>
      </x:c>
      <x:c r="C66" s="24"/>
      <x:c r="D66" s="24"/>
      <x:c r="E66" s="24"/>
      <x:c r="F66" s="33"/>
      <x:c r="G66" s="36"/>
      <x:c r="H66" s="36" t="str">
        <x:f>IF(OR(F66="",G66=""),"",F66*G66)</x:f>
      </x:c>
      <x:c r="I66" s="24"/>
      <x:c r="J66" s="36" t="n">
        <x:f>IF(I66="Sim",H66*$B$4,0)</x:f>
        <x:v>0</x:v>
      </x:c>
      <x:c r="K66" s="36" t="str">
        <x:f>IF(H66="","",IF(C66="Receita",H66-J66,-H66-J66))</x:f>
      </x:c>
    </x:row>
    <x:row r="67">
      <x:c r="A67" s="27"/>
      <x:c r="B67" s="30" t="str">
        <x:f>IF(A67="","",DATE(YEAR(A67),MONTH(A67),1))</x:f>
      </x:c>
      <x:c r="C67" s="24"/>
      <x:c r="D67" s="24"/>
      <x:c r="E67" s="24"/>
      <x:c r="F67" s="33"/>
      <x:c r="G67" s="36"/>
      <x:c r="H67" s="36" t="str">
        <x:f>IF(OR(F67="",G67=""),"",F67*G67)</x:f>
      </x:c>
      <x:c r="I67" s="24"/>
      <x:c r="J67" s="36" t="n">
        <x:f>IF(I67="Sim",H67*$B$4,0)</x:f>
        <x:v>0</x:v>
      </x:c>
      <x:c r="K67" s="36" t="str">
        <x:f>IF(H67="","",IF(C67="Receita",H67-J67,-H67-J67))</x:f>
      </x:c>
    </x:row>
    <x:row r="68">
      <x:c r="A68" s="27"/>
      <x:c r="B68" s="30" t="str">
        <x:f>IF(A68="","",DATE(YEAR(A68),MONTH(A68),1))</x:f>
      </x:c>
      <x:c r="C68" s="24"/>
      <x:c r="D68" s="24"/>
      <x:c r="E68" s="24"/>
      <x:c r="F68" s="33"/>
      <x:c r="G68" s="36"/>
      <x:c r="H68" s="36" t="str">
        <x:f>IF(OR(F68="",G68=""),"",F68*G68)</x:f>
      </x:c>
      <x:c r="I68" s="24"/>
      <x:c r="J68" s="36" t="n">
        <x:f>IF(I68="Sim",H68*$B$4,0)</x:f>
        <x:v>0</x:v>
      </x:c>
      <x:c r="K68" s="36" t="str">
        <x:f>IF(H68="","",IF(C68="Receita",H68-J68,-H68-J68))</x:f>
      </x:c>
    </x:row>
    <x:row r="69">
      <x:c r="A69" s="27"/>
      <x:c r="B69" s="30" t="str">
        <x:f>IF(A69="","",DATE(YEAR(A69),MONTH(A69),1))</x:f>
      </x:c>
      <x:c r="C69" s="24"/>
      <x:c r="D69" s="24"/>
      <x:c r="E69" s="24"/>
      <x:c r="F69" s="33"/>
      <x:c r="G69" s="36"/>
      <x:c r="H69" s="36" t="str">
        <x:f>IF(OR(F69="",G69=""),"",F69*G69)</x:f>
      </x:c>
      <x:c r="I69" s="24"/>
      <x:c r="J69" s="36" t="n">
        <x:f>IF(I69="Sim",H69*$B$4,0)</x:f>
        <x:v>0</x:v>
      </x:c>
      <x:c r="K69" s="36" t="str">
        <x:f>IF(H69="","",IF(C69="Receita",H69-J69,-H69-J69))</x:f>
      </x:c>
    </x:row>
    <x:row r="70">
      <x:c r="A70" s="27"/>
      <x:c r="B70" s="30" t="str">
        <x:f>IF(A70="","",DATE(YEAR(A70),MONTH(A70),1))</x:f>
      </x:c>
      <x:c r="C70" s="24"/>
      <x:c r="D70" s="24"/>
      <x:c r="E70" s="24"/>
      <x:c r="F70" s="33"/>
      <x:c r="G70" s="36"/>
      <x:c r="H70" s="36" t="str">
        <x:f>IF(OR(F70="",G70=""),"",F70*G70)</x:f>
      </x:c>
      <x:c r="I70" s="24"/>
      <x:c r="J70" s="36" t="n">
        <x:f>IF(I70="Sim",H70*$B$4,0)</x:f>
        <x:v>0</x:v>
      </x:c>
      <x:c r="K70" s="36" t="str">
        <x:f>IF(H70="","",IF(C70="Receita",H70-J70,-H70-J70))</x:f>
      </x:c>
    </x:row>
    <x:row r="71">
      <x:c r="A71" s="27"/>
      <x:c r="B71" s="30" t="str">
        <x:f>IF(A71="","",DATE(YEAR(A71),MONTH(A71),1))</x:f>
      </x:c>
      <x:c r="C71" s="24"/>
      <x:c r="D71" s="24"/>
      <x:c r="E71" s="24"/>
      <x:c r="F71" s="33"/>
      <x:c r="G71" s="36"/>
      <x:c r="H71" s="36" t="str">
        <x:f>IF(OR(F71="",G71=""),"",F71*G71)</x:f>
      </x:c>
      <x:c r="I71" s="24"/>
      <x:c r="J71" s="36" t="n">
        <x:f>IF(I71="Sim",H71*$B$4,0)</x:f>
        <x:v>0</x:v>
      </x:c>
      <x:c r="K71" s="36" t="str">
        <x:f>IF(H71="","",IF(C71="Receita",H71-J71,-H71-J71))</x:f>
      </x:c>
    </x:row>
    <x:row r="72">
      <x:c r="A72" s="27"/>
      <x:c r="B72" s="30" t="str">
        <x:f>IF(A72="","",DATE(YEAR(A72),MONTH(A72),1))</x:f>
      </x:c>
      <x:c r="C72" s="24"/>
      <x:c r="D72" s="24"/>
      <x:c r="E72" s="24"/>
      <x:c r="F72" s="33"/>
      <x:c r="G72" s="36"/>
      <x:c r="H72" s="36" t="str">
        <x:f>IF(OR(F72="",G72=""),"",F72*G72)</x:f>
      </x:c>
      <x:c r="I72" s="24"/>
      <x:c r="J72" s="36" t="n">
        <x:f>IF(I72="Sim",H72*$B$4,0)</x:f>
        <x:v>0</x:v>
      </x:c>
      <x:c r="K72" s="36" t="str">
        <x:f>IF(H72="","",IF(C72="Receita",H72-J72,-H72-J72))</x:f>
      </x:c>
    </x:row>
    <x:row r="73">
      <x:c r="A73" s="27"/>
      <x:c r="B73" s="30" t="str">
        <x:f>IF(A73="","",DATE(YEAR(A73),MONTH(A73),1))</x:f>
      </x:c>
      <x:c r="C73" s="24"/>
      <x:c r="D73" s="24"/>
      <x:c r="E73" s="24"/>
      <x:c r="F73" s="33"/>
      <x:c r="G73" s="36"/>
      <x:c r="H73" s="36" t="str">
        <x:f>IF(OR(F73="",G73=""),"",F73*G73)</x:f>
      </x:c>
      <x:c r="I73" s="24"/>
      <x:c r="J73" s="36" t="n">
        <x:f>IF(I73="Sim",H73*$B$4,0)</x:f>
        <x:v>0</x:v>
      </x:c>
      <x:c r="K73" s="36" t="str">
        <x:f>IF(H73="","",IF(C73="Receita",H73-J73,-H73-J73))</x:f>
      </x:c>
    </x:row>
    <x:row r="74">
      <x:c r="A74" s="27"/>
      <x:c r="B74" s="30" t="str">
        <x:f>IF(A74="","",DATE(YEAR(A74),MONTH(A74),1))</x:f>
      </x:c>
      <x:c r="C74" s="24"/>
      <x:c r="D74" s="24"/>
      <x:c r="E74" s="24"/>
      <x:c r="F74" s="33"/>
      <x:c r="G74" s="36"/>
      <x:c r="H74" s="36" t="str">
        <x:f>IF(OR(F74="",G74=""),"",F74*G74)</x:f>
      </x:c>
      <x:c r="I74" s="24"/>
      <x:c r="J74" s="36" t="n">
        <x:f>IF(I74="Sim",H74*$B$4,0)</x:f>
        <x:v>0</x:v>
      </x:c>
      <x:c r="K74" s="36" t="str">
        <x:f>IF(H74="","",IF(C74="Receita",H74-J74,-H74-J74))</x:f>
      </x:c>
    </x:row>
    <x:row r="75">
      <x:c r="A75" s="27"/>
      <x:c r="B75" s="30" t="str">
        <x:f>IF(A75="","",DATE(YEAR(A75),MONTH(A75),1))</x:f>
      </x:c>
      <x:c r="C75" s="24"/>
      <x:c r="D75" s="24"/>
      <x:c r="E75" s="24"/>
      <x:c r="F75" s="33"/>
      <x:c r="G75" s="36"/>
      <x:c r="H75" s="36" t="str">
        <x:f>IF(OR(F75="",G75=""),"",F75*G75)</x:f>
      </x:c>
      <x:c r="I75" s="24"/>
      <x:c r="J75" s="36" t="n">
        <x:f>IF(I75="Sim",H75*$B$4,0)</x:f>
        <x:v>0</x:v>
      </x:c>
      <x:c r="K75" s="36" t="str">
        <x:f>IF(H75="","",IF(C75="Receita",H75-J75,-H75-J75))</x:f>
      </x:c>
    </x:row>
    <x:row r="76">
      <x:c r="A76" s="27"/>
      <x:c r="B76" s="30" t="str">
        <x:f>IF(A76="","",DATE(YEAR(A76),MONTH(A76),1))</x:f>
      </x:c>
      <x:c r="C76" s="24"/>
      <x:c r="D76" s="24"/>
      <x:c r="E76" s="24"/>
      <x:c r="F76" s="33"/>
      <x:c r="G76" s="36"/>
      <x:c r="H76" s="36" t="str">
        <x:f>IF(OR(F76="",G76=""),"",F76*G76)</x:f>
      </x:c>
      <x:c r="I76" s="24"/>
      <x:c r="J76" s="36" t="n">
        <x:f>IF(I76="Sim",H76*$B$4,0)</x:f>
        <x:v>0</x:v>
      </x:c>
      <x:c r="K76" s="36" t="str">
        <x:f>IF(H76="","",IF(C76="Receita",H76-J76,-H76-J76))</x:f>
      </x:c>
    </x:row>
    <x:row r="77">
      <x:c r="A77" s="27"/>
      <x:c r="B77" s="30" t="str">
        <x:f>IF(A77="","",DATE(YEAR(A77),MONTH(A77),1))</x:f>
      </x:c>
      <x:c r="C77" s="24"/>
      <x:c r="D77" s="24"/>
      <x:c r="E77" s="24"/>
      <x:c r="F77" s="33"/>
      <x:c r="G77" s="36"/>
      <x:c r="H77" s="36" t="str">
        <x:f>IF(OR(F77="",G77=""),"",F77*G77)</x:f>
      </x:c>
      <x:c r="I77" s="24"/>
      <x:c r="J77" s="36" t="n">
        <x:f>IF(I77="Sim",H77*$B$4,0)</x:f>
        <x:v>0</x:v>
      </x:c>
      <x:c r="K77" s="36" t="str">
        <x:f>IF(H77="","",IF(C77="Receita",H77-J77,-H77-J77))</x:f>
      </x:c>
    </x:row>
    <x:row r="78">
      <x:c r="A78" s="27"/>
      <x:c r="B78" s="30" t="str">
        <x:f>IF(A78="","",DATE(YEAR(A78),MONTH(A78),1))</x:f>
      </x:c>
      <x:c r="C78" s="24"/>
      <x:c r="D78" s="24"/>
      <x:c r="E78" s="24"/>
      <x:c r="F78" s="33"/>
      <x:c r="G78" s="36"/>
      <x:c r="H78" s="36" t="str">
        <x:f>IF(OR(F78="",G78=""),"",F78*G78)</x:f>
      </x:c>
      <x:c r="I78" s="24"/>
      <x:c r="J78" s="36" t="n">
        <x:f>IF(I78="Sim",H78*$B$4,0)</x:f>
        <x:v>0</x:v>
      </x:c>
      <x:c r="K78" s="36" t="str">
        <x:f>IF(H78="","",IF(C78="Receita",H78-J78,-H78-J78))</x:f>
      </x:c>
    </x:row>
    <x:row r="79">
      <x:c r="A79" s="27"/>
      <x:c r="B79" s="30" t="str">
        <x:f>IF(A79="","",DATE(YEAR(A79),MONTH(A79),1))</x:f>
      </x:c>
      <x:c r="C79" s="24"/>
      <x:c r="D79" s="24"/>
      <x:c r="E79" s="24"/>
      <x:c r="F79" s="33"/>
      <x:c r="G79" s="36"/>
      <x:c r="H79" s="36" t="str">
        <x:f>IF(OR(F79="",G79=""),"",F79*G79)</x:f>
      </x:c>
      <x:c r="I79" s="24"/>
      <x:c r="J79" s="36" t="n">
        <x:f>IF(I79="Sim",H79*$B$4,0)</x:f>
        <x:v>0</x:v>
      </x:c>
      <x:c r="K79" s="36" t="str">
        <x:f>IF(H79="","",IF(C79="Receita",H79-J79,-H79-J79))</x:f>
      </x:c>
    </x:row>
    <x:row r="80">
      <x:c r="A80" s="27"/>
      <x:c r="B80" s="30" t="str">
        <x:f>IF(A80="","",DATE(YEAR(A80),MONTH(A80),1))</x:f>
      </x:c>
      <x:c r="C80" s="24"/>
      <x:c r="D80" s="24"/>
      <x:c r="E80" s="24"/>
      <x:c r="F80" s="33"/>
      <x:c r="G80" s="36"/>
      <x:c r="H80" s="36" t="str">
        <x:f>IF(OR(F80="",G80=""),"",F80*G80)</x:f>
      </x:c>
      <x:c r="I80" s="24"/>
      <x:c r="J80" s="36" t="n">
        <x:f>IF(I80="Sim",H80*$B$4,0)</x:f>
        <x:v>0</x:v>
      </x:c>
      <x:c r="K80" s="36" t="str">
        <x:f>IF(H80="","",IF(C80="Receita",H80-J80,-H80-J80))</x:f>
      </x:c>
    </x:row>
    <x:row r="81">
      <x:c r="A81" s="27"/>
      <x:c r="B81" s="30" t="str">
        <x:f>IF(A81="","",DATE(YEAR(A81),MONTH(A81),1))</x:f>
      </x:c>
      <x:c r="C81" s="24"/>
      <x:c r="D81" s="24"/>
      <x:c r="E81" s="24"/>
      <x:c r="F81" s="33"/>
      <x:c r="G81" s="36"/>
      <x:c r="H81" s="36" t="str">
        <x:f>IF(OR(F81="",G81=""),"",F81*G81)</x:f>
      </x:c>
      <x:c r="I81" s="24"/>
      <x:c r="J81" s="36" t="n">
        <x:f>IF(I81="Sim",H81*$B$4,0)</x:f>
        <x:v>0</x:v>
      </x:c>
      <x:c r="K81" s="36" t="str">
        <x:f>IF(H81="","",IF(C81="Receita",H81-J81,-H81-J81))</x:f>
      </x:c>
    </x:row>
    <x:row r="82">
      <x:c r="A82" s="27"/>
      <x:c r="B82" s="30" t="str">
        <x:f>IF(A82="","",DATE(YEAR(A82),MONTH(A82),1))</x:f>
      </x:c>
      <x:c r="C82" s="24"/>
      <x:c r="D82" s="24"/>
      <x:c r="E82" s="24"/>
      <x:c r="F82" s="33"/>
      <x:c r="G82" s="36"/>
      <x:c r="H82" s="36" t="str">
        <x:f>IF(OR(F82="",G82=""),"",F82*G82)</x:f>
      </x:c>
      <x:c r="I82" s="24"/>
      <x:c r="J82" s="36" t="n">
        <x:f>IF(I82="Sim",H82*$B$4,0)</x:f>
        <x:v>0</x:v>
      </x:c>
      <x:c r="K82" s="36" t="str">
        <x:f>IF(H82="","",IF(C82="Receita",H82-J82,-H82-J82))</x:f>
      </x:c>
    </x:row>
    <x:row r="83">
      <x:c r="A83" s="27"/>
      <x:c r="B83" s="30" t="str">
        <x:f>IF(A83="","",DATE(YEAR(A83),MONTH(A83),1))</x:f>
      </x:c>
      <x:c r="C83" s="24"/>
      <x:c r="D83" s="24"/>
      <x:c r="E83" s="24"/>
      <x:c r="F83" s="33"/>
      <x:c r="G83" s="36"/>
      <x:c r="H83" s="36" t="str">
        <x:f>IF(OR(F83="",G83=""),"",F83*G83)</x:f>
      </x:c>
      <x:c r="I83" s="24"/>
      <x:c r="J83" s="36" t="n">
        <x:f>IF(I83="Sim",H83*$B$4,0)</x:f>
        <x:v>0</x:v>
      </x:c>
      <x:c r="K83" s="36" t="str">
        <x:f>IF(H83="","",IF(C83="Receita",H83-J83,-H83-J83))</x:f>
      </x:c>
    </x:row>
    <x:row r="84">
      <x:c r="A84" s="27"/>
      <x:c r="B84" s="30" t="str">
        <x:f>IF(A84="","",DATE(YEAR(A84),MONTH(A84),1))</x:f>
      </x:c>
      <x:c r="C84" s="24"/>
      <x:c r="D84" s="24"/>
      <x:c r="E84" s="24"/>
      <x:c r="F84" s="33"/>
      <x:c r="G84" s="36"/>
      <x:c r="H84" s="36" t="str">
        <x:f>IF(OR(F84="",G84=""),"",F84*G84)</x:f>
      </x:c>
      <x:c r="I84" s="24"/>
      <x:c r="J84" s="36" t="n">
        <x:f>IF(I84="Sim",H84*$B$4,0)</x:f>
        <x:v>0</x:v>
      </x:c>
      <x:c r="K84" s="36" t="str">
        <x:f>IF(H84="","",IF(C84="Receita",H84-J84,-H84-J84))</x:f>
      </x:c>
    </x:row>
    <x:row r="85">
      <x:c r="A85" s="27"/>
      <x:c r="B85" s="30" t="str">
        <x:f>IF(A85="","",DATE(YEAR(A85),MONTH(A85),1))</x:f>
      </x:c>
      <x:c r="C85" s="24"/>
      <x:c r="D85" s="24"/>
      <x:c r="E85" s="24"/>
      <x:c r="F85" s="33"/>
      <x:c r="G85" s="36"/>
      <x:c r="H85" s="36" t="str">
        <x:f>IF(OR(F85="",G85=""),"",F85*G85)</x:f>
      </x:c>
      <x:c r="I85" s="24"/>
      <x:c r="J85" s="36" t="n">
        <x:f>IF(I85="Sim",H85*$B$4,0)</x:f>
        <x:v>0</x:v>
      </x:c>
      <x:c r="K85" s="36" t="str">
        <x:f>IF(H85="","",IF(C85="Receita",H85-J85,-H85-J85))</x:f>
      </x:c>
    </x:row>
    <x:row r="86">
      <x:c r="A86" s="27"/>
      <x:c r="B86" s="30" t="str">
        <x:f>IF(A86="","",DATE(YEAR(A86),MONTH(A86),1))</x:f>
      </x:c>
      <x:c r="C86" s="24"/>
      <x:c r="D86" s="24"/>
      <x:c r="E86" s="24"/>
      <x:c r="F86" s="33"/>
      <x:c r="G86" s="36"/>
      <x:c r="H86" s="36" t="str">
        <x:f>IF(OR(F86="",G86=""),"",F86*G86)</x:f>
      </x:c>
      <x:c r="I86" s="24"/>
      <x:c r="J86" s="36" t="n">
        <x:f>IF(I86="Sim",H86*$B$4,0)</x:f>
        <x:v>0</x:v>
      </x:c>
      <x:c r="K86" s="36" t="str">
        <x:f>IF(H86="","",IF(C86="Receita",H86-J86,-H86-J86))</x:f>
      </x:c>
    </x:row>
    <x:row r="87">
      <x:c r="A87" s="27"/>
      <x:c r="B87" s="30" t="str">
        <x:f>IF(A87="","",DATE(YEAR(A87),MONTH(A87),1))</x:f>
      </x:c>
      <x:c r="C87" s="24"/>
      <x:c r="D87" s="24"/>
      <x:c r="E87" s="24"/>
      <x:c r="F87" s="33"/>
      <x:c r="G87" s="36"/>
      <x:c r="H87" s="36" t="str">
        <x:f>IF(OR(F87="",G87=""),"",F87*G87)</x:f>
      </x:c>
      <x:c r="I87" s="24"/>
      <x:c r="J87" s="36" t="n">
        <x:f>IF(I87="Sim",H87*$B$4,0)</x:f>
        <x:v>0</x:v>
      </x:c>
      <x:c r="K87" s="36" t="str">
        <x:f>IF(H87="","",IF(C87="Receita",H87-J87,-H87-J87))</x:f>
      </x:c>
    </x:row>
    <x:row r="88">
      <x:c r="A88" s="27"/>
      <x:c r="B88" s="30" t="str">
        <x:f>IF(A88="","",DATE(YEAR(A88),MONTH(A88),1))</x:f>
      </x:c>
      <x:c r="C88" s="24"/>
      <x:c r="D88" s="24"/>
      <x:c r="E88" s="24"/>
      <x:c r="F88" s="33"/>
      <x:c r="G88" s="36"/>
      <x:c r="H88" s="36" t="str">
        <x:f>IF(OR(F88="",G88=""),"",F88*G88)</x:f>
      </x:c>
      <x:c r="I88" s="24"/>
      <x:c r="J88" s="36" t="n">
        <x:f>IF(I88="Sim",H88*$B$4,0)</x:f>
        <x:v>0</x:v>
      </x:c>
      <x:c r="K88" s="36" t="str">
        <x:f>IF(H88="","",IF(C88="Receita",H88-J88,-H88-J88))</x:f>
      </x:c>
    </x:row>
    <x:row r="89">
      <x:c r="A89" s="27"/>
      <x:c r="B89" s="30" t="str">
        <x:f>IF(A89="","",DATE(YEAR(A89),MONTH(A89),1))</x:f>
      </x:c>
      <x:c r="C89" s="24"/>
      <x:c r="D89" s="24"/>
      <x:c r="E89" s="24"/>
      <x:c r="F89" s="33"/>
      <x:c r="G89" s="36"/>
      <x:c r="H89" s="36" t="str">
        <x:f>IF(OR(F89="",G89=""),"",F89*G89)</x:f>
      </x:c>
      <x:c r="I89" s="24"/>
      <x:c r="J89" s="36" t="n">
        <x:f>IF(I89="Sim",H89*$B$4,0)</x:f>
        <x:v>0</x:v>
      </x:c>
      <x:c r="K89" s="36" t="str">
        <x:f>IF(H89="","",IF(C89="Receita",H89-J89,-H89-J89))</x:f>
      </x:c>
    </x:row>
    <x:row r="90">
      <x:c r="A90" s="27"/>
      <x:c r="B90" s="30" t="str">
        <x:f>IF(A90="","",DATE(YEAR(A90),MONTH(A90),1))</x:f>
      </x:c>
      <x:c r="C90" s="24"/>
      <x:c r="D90" s="24"/>
      <x:c r="E90" s="24"/>
      <x:c r="F90" s="33"/>
      <x:c r="G90" s="36"/>
      <x:c r="H90" s="36" t="str">
        <x:f>IF(OR(F90="",G90=""),"",F90*G90)</x:f>
      </x:c>
      <x:c r="I90" s="24"/>
      <x:c r="J90" s="36" t="n">
        <x:f>IF(I90="Sim",H90*$B$4,0)</x:f>
        <x:v>0</x:v>
      </x:c>
      <x:c r="K90" s="36" t="str">
        <x:f>IF(H90="","",IF(C90="Receita",H90-J90,-H90-J90))</x:f>
      </x:c>
    </x:row>
    <x:row r="91">
      <x:c r="A91" s="27"/>
      <x:c r="B91" s="30" t="str">
        <x:f>IF(A91="","",DATE(YEAR(A91),MONTH(A91),1))</x:f>
      </x:c>
      <x:c r="C91" s="24"/>
      <x:c r="D91" s="24"/>
      <x:c r="E91" s="24"/>
      <x:c r="F91" s="33"/>
      <x:c r="G91" s="36"/>
      <x:c r="H91" s="36" t="str">
        <x:f>IF(OR(F91="",G91=""),"",F91*G91)</x:f>
      </x:c>
      <x:c r="I91" s="24"/>
      <x:c r="J91" s="36" t="n">
        <x:f>IF(I91="Sim",H91*$B$4,0)</x:f>
        <x:v>0</x:v>
      </x:c>
      <x:c r="K91" s="36" t="str">
        <x:f>IF(H91="","",IF(C91="Receita",H91-J91,-H91-J91))</x:f>
      </x:c>
    </x:row>
    <x:row r="92">
      <x:c r="A92" s="27"/>
      <x:c r="B92" s="30" t="str">
        <x:f>IF(A92="","",DATE(YEAR(A92),MONTH(A92),1))</x:f>
      </x:c>
      <x:c r="C92" s="24"/>
      <x:c r="D92" s="24"/>
      <x:c r="E92" s="24"/>
      <x:c r="F92" s="33"/>
      <x:c r="G92" s="36"/>
      <x:c r="H92" s="36" t="str">
        <x:f>IF(OR(F92="",G92=""),"",F92*G92)</x:f>
      </x:c>
      <x:c r="I92" s="24"/>
      <x:c r="J92" s="36" t="n">
        <x:f>IF(I92="Sim",H92*$B$4,0)</x:f>
        <x:v>0</x:v>
      </x:c>
      <x:c r="K92" s="36" t="str">
        <x:f>IF(H92="","",IF(C92="Receita",H92-J92,-H92-J92))</x:f>
      </x:c>
    </x:row>
    <x:row r="93">
      <x:c r="A93" s="27"/>
      <x:c r="B93" s="30" t="str">
        <x:f>IF(A93="","",DATE(YEAR(A93),MONTH(A93),1))</x:f>
      </x:c>
      <x:c r="C93" s="24"/>
      <x:c r="D93" s="24"/>
      <x:c r="E93" s="24"/>
      <x:c r="F93" s="33"/>
      <x:c r="G93" s="36"/>
      <x:c r="H93" s="36" t="str">
        <x:f>IF(OR(F93="",G93=""),"",F93*G93)</x:f>
      </x:c>
      <x:c r="I93" s="24"/>
      <x:c r="J93" s="36" t="n">
        <x:f>IF(I93="Sim",H93*$B$4,0)</x:f>
        <x:v>0</x:v>
      </x:c>
      <x:c r="K93" s="36" t="str">
        <x:f>IF(H93="","",IF(C93="Receita",H93-J93,-H93-J93))</x:f>
      </x:c>
    </x:row>
    <x:row r="94">
      <x:c r="A94" s="27"/>
      <x:c r="B94" s="30" t="str">
        <x:f>IF(A94="","",DATE(YEAR(A94),MONTH(A94),1))</x:f>
      </x:c>
      <x:c r="C94" s="24"/>
      <x:c r="D94" s="24"/>
      <x:c r="E94" s="24"/>
      <x:c r="F94" s="33"/>
      <x:c r="G94" s="36"/>
      <x:c r="H94" s="36" t="str">
        <x:f>IF(OR(F94="",G94=""),"",F94*G94)</x:f>
      </x:c>
      <x:c r="I94" s="24"/>
      <x:c r="J94" s="36" t="n">
        <x:f>IF(I94="Sim",H94*$B$4,0)</x:f>
        <x:v>0</x:v>
      </x:c>
      <x:c r="K94" s="36" t="str">
        <x:f>IF(H94="","",IF(C94="Receita",H94-J94,-H94-J94))</x:f>
      </x:c>
    </x:row>
    <x:row r="95">
      <x:c r="A95" s="27"/>
      <x:c r="B95" s="30" t="str">
        <x:f>IF(A95="","",DATE(YEAR(A95),MONTH(A95),1))</x:f>
      </x:c>
      <x:c r="C95" s="24"/>
      <x:c r="D95" s="24"/>
      <x:c r="E95" s="24"/>
      <x:c r="F95" s="33"/>
      <x:c r="G95" s="36"/>
      <x:c r="H95" s="36" t="str">
        <x:f>IF(OR(F95="",G95=""),"",F95*G95)</x:f>
      </x:c>
      <x:c r="I95" s="24"/>
      <x:c r="J95" s="36" t="n">
        <x:f>IF(I95="Sim",H95*$B$4,0)</x:f>
        <x:v>0</x:v>
      </x:c>
      <x:c r="K95" s="36" t="str">
        <x:f>IF(H95="","",IF(C95="Receita",H95-J95,-H95-J95))</x:f>
      </x:c>
    </x:row>
    <x:row r="96">
      <x:c r="A96" s="27"/>
      <x:c r="B96" s="30" t="str">
        <x:f>IF(A96="","",DATE(YEAR(A96),MONTH(A96),1))</x:f>
      </x:c>
      <x:c r="C96" s="24"/>
      <x:c r="D96" s="24"/>
      <x:c r="E96" s="24"/>
      <x:c r="F96" s="33"/>
      <x:c r="G96" s="36"/>
      <x:c r="H96" s="36" t="str">
        <x:f>IF(OR(F96="",G96=""),"",F96*G96)</x:f>
      </x:c>
      <x:c r="I96" s="24"/>
      <x:c r="J96" s="36" t="n">
        <x:f>IF(I96="Sim",H96*$B$4,0)</x:f>
        <x:v>0</x:v>
      </x:c>
      <x:c r="K96" s="36" t="str">
        <x:f>IF(H96="","",IF(C96="Receita",H96-J96,-H96-J96))</x:f>
      </x:c>
    </x:row>
    <x:row r="97">
      <x:c r="A97" s="27"/>
      <x:c r="B97" s="30" t="str">
        <x:f>IF(A97="","",DATE(YEAR(A97),MONTH(A97),1))</x:f>
      </x:c>
      <x:c r="C97" s="24"/>
      <x:c r="D97" s="24"/>
      <x:c r="E97" s="24"/>
      <x:c r="F97" s="33"/>
      <x:c r="G97" s="36"/>
      <x:c r="H97" s="36" t="str">
        <x:f>IF(OR(F97="",G97=""),"",F97*G97)</x:f>
      </x:c>
      <x:c r="I97" s="24"/>
      <x:c r="J97" s="36" t="n">
        <x:f>IF(I97="Sim",H97*$B$4,0)</x:f>
        <x:v>0</x:v>
      </x:c>
      <x:c r="K97" s="36" t="str">
        <x:f>IF(H97="","",IF(C97="Receita",H97-J97,-H97-J97))</x:f>
      </x:c>
    </x:row>
    <x:row r="98">
      <x:c r="A98" s="27"/>
      <x:c r="B98" s="30" t="str">
        <x:f>IF(A98="","",DATE(YEAR(A98),MONTH(A98),1))</x:f>
      </x:c>
      <x:c r="C98" s="24"/>
      <x:c r="D98" s="24"/>
      <x:c r="E98" s="24"/>
      <x:c r="F98" s="33"/>
      <x:c r="G98" s="36"/>
      <x:c r="H98" s="36" t="str">
        <x:f>IF(OR(F98="",G98=""),"",F98*G98)</x:f>
      </x:c>
      <x:c r="I98" s="24"/>
      <x:c r="J98" s="36" t="n">
        <x:f>IF(I98="Sim",H98*$B$4,0)</x:f>
        <x:v>0</x:v>
      </x:c>
      <x:c r="K98" s="36" t="str">
        <x:f>IF(H98="","",IF(C98="Receita",H98-J98,-H98-J98))</x:f>
      </x:c>
    </x:row>
    <x:row r="99">
      <x:c r="A99" s="27"/>
      <x:c r="B99" s="30" t="str">
        <x:f>IF(A99="","",DATE(YEAR(A99),MONTH(A99),1))</x:f>
      </x:c>
      <x:c r="C99" s="24"/>
      <x:c r="D99" s="24"/>
      <x:c r="E99" s="24"/>
      <x:c r="F99" s="33"/>
      <x:c r="G99" s="36"/>
      <x:c r="H99" s="36" t="str">
        <x:f>IF(OR(F99="",G99=""),"",F99*G99)</x:f>
      </x:c>
      <x:c r="I99" s="24"/>
      <x:c r="J99" s="36" t="n">
        <x:f>IF(I99="Sim",H99*$B$4,0)</x:f>
        <x:v>0</x:v>
      </x:c>
      <x:c r="K99" s="36" t="str">
        <x:f>IF(H99="","",IF(C99="Receita",H99-J99,-H99-J99))</x:f>
      </x:c>
    </x:row>
    <x:row r="100">
      <x:c r="A100" s="27"/>
      <x:c r="B100" s="30" t="str">
        <x:f>IF(A100="","",DATE(YEAR(A100),MONTH(A100),1))</x:f>
      </x:c>
      <x:c r="C100" s="24"/>
      <x:c r="D100" s="24"/>
      <x:c r="E100" s="24"/>
      <x:c r="F100" s="33"/>
      <x:c r="G100" s="36"/>
      <x:c r="H100" s="36" t="str">
        <x:f>IF(OR(F100="",G100=""),"",F100*G100)</x:f>
      </x:c>
      <x:c r="I100" s="24"/>
      <x:c r="J100" s="36" t="n">
        <x:f>IF(I100="Sim",H100*$B$4,0)</x:f>
        <x:v>0</x:v>
      </x:c>
      <x:c r="K100" s="36" t="str">
        <x:f>IF(H100="","",IF(C100="Receita",H100-J100,-H100-J100))</x:f>
      </x:c>
    </x:row>
    <x:row r="101">
      <x:c r="A101" s="27"/>
      <x:c r="B101" s="30" t="str">
        <x:f>IF(A101="","",DATE(YEAR(A101),MONTH(A101),1))</x:f>
      </x:c>
      <x:c r="C101" s="24"/>
      <x:c r="D101" s="24"/>
      <x:c r="E101" s="24"/>
      <x:c r="F101" s="33"/>
      <x:c r="G101" s="36"/>
      <x:c r="H101" s="36" t="str">
        <x:f>IF(OR(F101="",G101=""),"",F101*G101)</x:f>
      </x:c>
      <x:c r="I101" s="24"/>
      <x:c r="J101" s="36" t="n">
        <x:f>IF(I101="Sim",H101*$B$4,0)</x:f>
        <x:v>0</x:v>
      </x:c>
      <x:c r="K101" s="36" t="str">
        <x:f>IF(H101="","",IF(C101="Receita",H101-J101,-H101-J101))</x:f>
      </x:c>
    </x:row>
    <x:row r="102">
      <x:c r="A102" s="27"/>
      <x:c r="B102" s="30" t="str">
        <x:f>IF(A102="","",DATE(YEAR(A102),MONTH(A102),1))</x:f>
      </x:c>
      <x:c r="C102" s="24"/>
      <x:c r="D102" s="24"/>
      <x:c r="E102" s="24"/>
      <x:c r="F102" s="33"/>
      <x:c r="G102" s="36"/>
      <x:c r="H102" s="36" t="str">
        <x:f>IF(OR(F102="",G102=""),"",F102*G102)</x:f>
      </x:c>
      <x:c r="I102" s="24"/>
      <x:c r="J102" s="36" t="n">
        <x:f>IF(I102="Sim",H102*$B$4,0)</x:f>
        <x:v>0</x:v>
      </x:c>
      <x:c r="K102" s="36" t="str">
        <x:f>IF(H102="","",IF(C102="Receita",H102-J102,-H102-J102))</x:f>
      </x:c>
    </x:row>
    <x:row r="103">
      <x:c r="A103" s="27"/>
      <x:c r="B103" s="30" t="str">
        <x:f>IF(A103="","",DATE(YEAR(A103),MONTH(A103),1))</x:f>
      </x:c>
      <x:c r="C103" s="24"/>
      <x:c r="D103" s="24"/>
      <x:c r="E103" s="24"/>
      <x:c r="F103" s="33"/>
      <x:c r="G103" s="36"/>
      <x:c r="H103" s="36" t="str">
        <x:f>IF(OR(F103="",G103=""),"",F103*G103)</x:f>
      </x:c>
      <x:c r="I103" s="24"/>
      <x:c r="J103" s="36" t="n">
        <x:f>IF(I103="Sim",H103*$B$4,0)</x:f>
        <x:v>0</x:v>
      </x:c>
      <x:c r="K103" s="36" t="str">
        <x:f>IF(H103="","",IF(C103="Receita",H103-J103,-H103-J103))</x:f>
      </x:c>
    </x:row>
    <x:row r="104">
      <x:c r="A104" s="27"/>
      <x:c r="B104" s="30" t="str">
        <x:f>IF(A104="","",DATE(YEAR(A104),MONTH(A104),1))</x:f>
      </x:c>
      <x:c r="C104" s="24"/>
      <x:c r="D104" s="24"/>
      <x:c r="E104" s="24"/>
      <x:c r="F104" s="33"/>
      <x:c r="G104" s="36"/>
      <x:c r="H104" s="36" t="str">
        <x:f>IF(OR(F104="",G104=""),"",F104*G104)</x:f>
      </x:c>
      <x:c r="I104" s="24"/>
      <x:c r="J104" s="36" t="n">
        <x:f>IF(I104="Sim",H104*$B$4,0)</x:f>
        <x:v>0</x:v>
      </x:c>
      <x:c r="K104" s="36" t="str">
        <x:f>IF(H104="","",IF(C104="Receita",H104-J104,-H104-J104))</x:f>
      </x:c>
    </x:row>
    <x:row r="105">
      <x:c r="A105" s="27"/>
      <x:c r="B105" s="30" t="str">
        <x:f>IF(A105="","",DATE(YEAR(A105),MONTH(A105),1))</x:f>
      </x:c>
      <x:c r="C105" s="24"/>
      <x:c r="D105" s="24"/>
      <x:c r="E105" s="24"/>
      <x:c r="F105" s="33"/>
      <x:c r="G105" s="36"/>
      <x:c r="H105" s="36" t="str">
        <x:f>IF(OR(F105="",G105=""),"",F105*G105)</x:f>
      </x:c>
      <x:c r="I105" s="24"/>
      <x:c r="J105" s="36" t="n">
        <x:f>IF(I105="Sim",H105*$B$4,0)</x:f>
        <x:v>0</x:v>
      </x:c>
      <x:c r="K105" s="36" t="str">
        <x:f>IF(H105="","",IF(C105="Receita",H105-J105,-H105-J105))</x:f>
      </x:c>
    </x:row>
    <x:row r="106">
      <x:c r="A106" s="27"/>
      <x:c r="B106" s="30" t="str">
        <x:f>IF(A106="","",DATE(YEAR(A106),MONTH(A106),1))</x:f>
      </x:c>
      <x:c r="C106" s="24"/>
      <x:c r="D106" s="24"/>
      <x:c r="E106" s="24"/>
      <x:c r="F106" s="33"/>
      <x:c r="G106" s="36"/>
      <x:c r="H106" s="36" t="str">
        <x:f>IF(OR(F106="",G106=""),"",F106*G106)</x:f>
      </x:c>
      <x:c r="I106" s="24"/>
      <x:c r="J106" s="36" t="n">
        <x:f>IF(I106="Sim",H106*$B$4,0)</x:f>
        <x:v>0</x:v>
      </x:c>
      <x:c r="K106" s="36" t="str">
        <x:f>IF(H106="","",IF(C106="Receita",H106-J106,-H106-J106))</x:f>
      </x:c>
    </x:row>
    <x:row r="107">
      <x:c r="A107" s="27"/>
      <x:c r="B107" s="30" t="str">
        <x:f>IF(A107="","",DATE(YEAR(A107),MONTH(A107),1))</x:f>
      </x:c>
      <x:c r="C107" s="24"/>
      <x:c r="D107" s="24"/>
      <x:c r="E107" s="24"/>
      <x:c r="F107" s="33"/>
      <x:c r="G107" s="36"/>
      <x:c r="H107" s="36" t="str">
        <x:f>IF(OR(F107="",G107=""),"",F107*G107)</x:f>
      </x:c>
      <x:c r="I107" s="24"/>
      <x:c r="J107" s="36" t="n">
        <x:f>IF(I107="Sim",H107*$B$4,0)</x:f>
        <x:v>0</x:v>
      </x:c>
      <x:c r="K107" s="36" t="str">
        <x:f>IF(H107="","",IF(C107="Receita",H107-J107,-H107-J107))</x:f>
      </x:c>
    </x:row>
    <x:row r="108">
      <x:c r="A108" s="27"/>
      <x:c r="B108" s="30" t="str">
        <x:f>IF(A108="","",DATE(YEAR(A108),MONTH(A108),1))</x:f>
      </x:c>
      <x:c r="C108" s="24"/>
      <x:c r="D108" s="24"/>
      <x:c r="E108" s="24"/>
      <x:c r="F108" s="33"/>
      <x:c r="G108" s="36"/>
      <x:c r="H108" s="36" t="str">
        <x:f>IF(OR(F108="",G108=""),"",F108*G108)</x:f>
      </x:c>
      <x:c r="I108" s="24"/>
      <x:c r="J108" s="36" t="n">
        <x:f>IF(I108="Sim",H108*$B$4,0)</x:f>
        <x:v>0</x:v>
      </x:c>
      <x:c r="K108" s="36" t="str">
        <x:f>IF(H108="","",IF(C108="Receita",H108-J108,-H108-J108))</x:f>
      </x:c>
    </x:row>
    <x:row r="109">
      <x:c r="A109" s="27"/>
      <x:c r="B109" s="30" t="str">
        <x:f>IF(A109="","",DATE(YEAR(A109),MONTH(A109),1))</x:f>
      </x:c>
      <x:c r="C109" s="24"/>
      <x:c r="D109" s="24"/>
      <x:c r="E109" s="24"/>
      <x:c r="F109" s="33"/>
      <x:c r="G109" s="36"/>
      <x:c r="H109" s="36" t="str">
        <x:f>IF(OR(F109="",G109=""),"",F109*G109)</x:f>
      </x:c>
      <x:c r="I109" s="24"/>
      <x:c r="J109" s="36" t="n">
        <x:f>IF(I109="Sim",H109*$B$4,0)</x:f>
        <x:v>0</x:v>
      </x:c>
      <x:c r="K109" s="36" t="str">
        <x:f>IF(H109="","",IF(C109="Receita",H109-J109,-H109-J109))</x:f>
      </x:c>
    </x:row>
    <x:row r="110">
      <x:c r="A110" s="27"/>
      <x:c r="B110" s="30" t="str">
        <x:f>IF(A110="","",DATE(YEAR(A110),MONTH(A110),1))</x:f>
      </x:c>
      <x:c r="C110" s="24"/>
      <x:c r="D110" s="24"/>
      <x:c r="E110" s="24"/>
      <x:c r="F110" s="33"/>
      <x:c r="G110" s="36"/>
      <x:c r="H110" s="36" t="str">
        <x:f>IF(OR(F110="",G110=""),"",F110*G110)</x:f>
      </x:c>
      <x:c r="I110" s="24"/>
      <x:c r="J110" s="36" t="n">
        <x:f>IF(I110="Sim",H110*$B$4,0)</x:f>
        <x:v>0</x:v>
      </x:c>
      <x:c r="K110" s="36" t="str">
        <x:f>IF(H110="","",IF(C110="Receita",H110-J110,-H110-J110))</x:f>
      </x:c>
    </x:row>
    <x:row r="111">
      <x:c r="A111" s="27"/>
      <x:c r="B111" s="30" t="str">
        <x:f>IF(A111="","",DATE(YEAR(A111),MONTH(A111),1))</x:f>
      </x:c>
      <x:c r="C111" s="24"/>
      <x:c r="D111" s="24"/>
      <x:c r="E111" s="24"/>
      <x:c r="F111" s="33"/>
      <x:c r="G111" s="36"/>
      <x:c r="H111" s="36" t="str">
        <x:f>IF(OR(F111="",G111=""),"",F111*G111)</x:f>
      </x:c>
      <x:c r="I111" s="24"/>
      <x:c r="J111" s="36" t="n">
        <x:f>IF(I111="Sim",H111*$B$4,0)</x:f>
        <x:v>0</x:v>
      </x:c>
      <x:c r="K111" s="36" t="str">
        <x:f>IF(H111="","",IF(C111="Receita",H111-J111,-H111-J111))</x:f>
      </x:c>
    </x:row>
    <x:row r="112">
      <x:c r="A112" s="27"/>
      <x:c r="B112" s="30" t="str">
        <x:f>IF(A112="","",DATE(YEAR(A112),MONTH(A112),1))</x:f>
      </x:c>
      <x:c r="C112" s="24"/>
      <x:c r="D112" s="24"/>
      <x:c r="E112" s="24"/>
      <x:c r="F112" s="33"/>
      <x:c r="G112" s="36"/>
      <x:c r="H112" s="36" t="str">
        <x:f>IF(OR(F112="",G112=""),"",F112*G112)</x:f>
      </x:c>
      <x:c r="I112" s="24"/>
      <x:c r="J112" s="36" t="n">
        <x:f>IF(I112="Sim",H112*$B$4,0)</x:f>
        <x:v>0</x:v>
      </x:c>
      <x:c r="K112" s="36" t="str">
        <x:f>IF(H112="","",IF(C112="Receita",H112-J112,-H112-J112))</x:f>
      </x:c>
    </x:row>
    <x:row r="113">
      <x:c r="A113" s="27"/>
      <x:c r="B113" s="30" t="str">
        <x:f>IF(A113="","",DATE(YEAR(A113),MONTH(A113),1))</x:f>
      </x:c>
      <x:c r="C113" s="24"/>
      <x:c r="D113" s="24"/>
      <x:c r="E113" s="24"/>
      <x:c r="F113" s="33"/>
      <x:c r="G113" s="36"/>
      <x:c r="H113" s="36" t="str">
        <x:f>IF(OR(F113="",G113=""),"",F113*G113)</x:f>
      </x:c>
      <x:c r="I113" s="24"/>
      <x:c r="J113" s="36" t="n">
        <x:f>IF(I113="Sim",H113*$B$4,0)</x:f>
        <x:v>0</x:v>
      </x:c>
      <x:c r="K113" s="36" t="str">
        <x:f>IF(H113="","",IF(C113="Receita",H113-J113,-H113-J113))</x:f>
      </x:c>
    </x:row>
    <x:row r="114">
      <x:c r="A114" s="27"/>
      <x:c r="B114" s="30" t="str">
        <x:f>IF(A114="","",DATE(YEAR(A114),MONTH(A114),1))</x:f>
      </x:c>
      <x:c r="C114" s="24"/>
      <x:c r="D114" s="24"/>
      <x:c r="E114" s="24"/>
      <x:c r="F114" s="33"/>
      <x:c r="G114" s="36"/>
      <x:c r="H114" s="36" t="str">
        <x:f>IF(OR(F114="",G114=""),"",F114*G114)</x:f>
      </x:c>
      <x:c r="I114" s="24"/>
      <x:c r="J114" s="36" t="n">
        <x:f>IF(I114="Sim",H114*$B$4,0)</x:f>
        <x:v>0</x:v>
      </x:c>
      <x:c r="K114" s="36" t="str">
        <x:f>IF(H114="","",IF(C114="Receita",H114-J114,-H114-J114))</x:f>
      </x:c>
    </x:row>
    <x:row r="115">
      <x:c r="A115" s="27"/>
      <x:c r="B115" s="30" t="str">
        <x:f>IF(A115="","",DATE(YEAR(A115),MONTH(A115),1))</x:f>
      </x:c>
      <x:c r="C115" s="24"/>
      <x:c r="D115" s="24"/>
      <x:c r="E115" s="24"/>
      <x:c r="F115" s="33"/>
      <x:c r="G115" s="36"/>
      <x:c r="H115" s="36" t="str">
        <x:f>IF(OR(F115="",G115=""),"",F115*G115)</x:f>
      </x:c>
      <x:c r="I115" s="24"/>
      <x:c r="J115" s="36" t="n">
        <x:f>IF(I115="Sim",H115*$B$4,0)</x:f>
        <x:v>0</x:v>
      </x:c>
      <x:c r="K115" s="36" t="str">
        <x:f>IF(H115="","",IF(C115="Receita",H115-J115,-H115-J115))</x:f>
      </x:c>
    </x:row>
    <x:row r="116">
      <x:c r="A116" s="27"/>
      <x:c r="B116" s="30" t="str">
        <x:f>IF(A116="","",DATE(YEAR(A116),MONTH(A116),1))</x:f>
      </x:c>
      <x:c r="C116" s="24"/>
      <x:c r="D116" s="24"/>
      <x:c r="E116" s="24"/>
      <x:c r="F116" s="33"/>
      <x:c r="G116" s="36"/>
      <x:c r="H116" s="36" t="str">
        <x:f>IF(OR(F116="",G116=""),"",F116*G116)</x:f>
      </x:c>
      <x:c r="I116" s="24"/>
      <x:c r="J116" s="36" t="n">
        <x:f>IF(I116="Sim",H116*$B$4,0)</x:f>
        <x:v>0</x:v>
      </x:c>
      <x:c r="K116" s="36" t="str">
        <x:f>IF(H116="","",IF(C116="Receita",H116-J116,-H116-J116))</x:f>
      </x:c>
    </x:row>
    <x:row r="117">
      <x:c r="A117" s="27"/>
      <x:c r="B117" s="30" t="str">
        <x:f>IF(A117="","",DATE(YEAR(A117),MONTH(A117),1))</x:f>
      </x:c>
      <x:c r="C117" s="24"/>
      <x:c r="D117" s="24"/>
      <x:c r="E117" s="24"/>
      <x:c r="F117" s="33"/>
      <x:c r="G117" s="36"/>
      <x:c r="H117" s="36" t="str">
        <x:f>IF(OR(F117="",G117=""),"",F117*G117)</x:f>
      </x:c>
      <x:c r="I117" s="24"/>
      <x:c r="J117" s="36" t="n">
        <x:f>IF(I117="Sim",H117*$B$4,0)</x:f>
        <x:v>0</x:v>
      </x:c>
      <x:c r="K117" s="36" t="str">
        <x:f>IF(H117="","",IF(C117="Receita",H117-J117,-H117-J117))</x:f>
      </x:c>
    </x:row>
    <x:row r="118">
      <x:c r="A118" s="27"/>
      <x:c r="B118" s="30" t="str">
        <x:f>IF(A118="","",DATE(YEAR(A118),MONTH(A118),1))</x:f>
      </x:c>
      <x:c r="C118" s="24"/>
      <x:c r="D118" s="24"/>
      <x:c r="E118" s="24"/>
      <x:c r="F118" s="33"/>
      <x:c r="G118" s="36"/>
      <x:c r="H118" s="36" t="str">
        <x:f>IF(OR(F118="",G118=""),"",F118*G118)</x:f>
      </x:c>
      <x:c r="I118" s="24"/>
      <x:c r="J118" s="36" t="n">
        <x:f>IF(I118="Sim",H118*$B$4,0)</x:f>
        <x:v>0</x:v>
      </x:c>
      <x:c r="K118" s="36" t="str">
        <x:f>IF(H118="","",IF(C118="Receita",H118-J118,-H118-J118))</x:f>
      </x:c>
    </x:row>
    <x:row r="119">
      <x:c r="A119" s="27"/>
      <x:c r="B119" s="30" t="str">
        <x:f>IF(A119="","",DATE(YEAR(A119),MONTH(A119),1))</x:f>
      </x:c>
      <x:c r="C119" s="24"/>
      <x:c r="D119" s="24"/>
      <x:c r="E119" s="24"/>
      <x:c r="F119" s="33"/>
      <x:c r="G119" s="36"/>
      <x:c r="H119" s="36" t="str">
        <x:f>IF(OR(F119="",G119=""),"",F119*G119)</x:f>
      </x:c>
      <x:c r="I119" s="24"/>
      <x:c r="J119" s="36" t="n">
        <x:f>IF(I119="Sim",H119*$B$4,0)</x:f>
        <x:v>0</x:v>
      </x:c>
      <x:c r="K119" s="36" t="str">
        <x:f>IF(H119="","",IF(C119="Receita",H119-J119,-H119-J119))</x:f>
      </x:c>
    </x:row>
    <x:row r="120">
      <x:c r="A120" s="27"/>
      <x:c r="B120" s="30" t="str">
        <x:f>IF(A120="","",DATE(YEAR(A120),MONTH(A120),1))</x:f>
      </x:c>
      <x:c r="C120" s="24"/>
      <x:c r="D120" s="24"/>
      <x:c r="E120" s="24"/>
      <x:c r="F120" s="33"/>
      <x:c r="G120" s="36"/>
      <x:c r="H120" s="36" t="str">
        <x:f>IF(OR(F120="",G120=""),"",F120*G120)</x:f>
      </x:c>
      <x:c r="I120" s="24"/>
      <x:c r="J120" s="36" t="n">
        <x:f>IF(I120="Sim",H120*$B$4,0)</x:f>
        <x:v>0</x:v>
      </x:c>
      <x:c r="K120" s="36" t="str">
        <x:f>IF(H120="","",IF(C120="Receita",H120-J120,-H120-J120))</x:f>
      </x:c>
    </x:row>
    <x:row r="121">
      <x:c r="A121" s="27"/>
      <x:c r="B121" s="30" t="str">
        <x:f>IF(A121="","",DATE(YEAR(A121),MONTH(A121),1))</x:f>
      </x:c>
      <x:c r="C121" s="24"/>
      <x:c r="D121" s="24"/>
      <x:c r="E121" s="24"/>
      <x:c r="F121" s="33"/>
      <x:c r="G121" s="36"/>
      <x:c r="H121" s="36" t="str">
        <x:f>IF(OR(F121="",G121=""),"",F121*G121)</x:f>
      </x:c>
      <x:c r="I121" s="24"/>
      <x:c r="J121" s="36" t="n">
        <x:f>IF(I121="Sim",H121*$B$4,0)</x:f>
        <x:v>0</x:v>
      </x:c>
      <x:c r="K121" s="36" t="str">
        <x:f>IF(H121="","",IF(C121="Receita",H121-J121,-H121-J121))</x:f>
      </x:c>
    </x:row>
    <x:row r="122">
      <x:c r="A122" s="27"/>
      <x:c r="B122" s="30" t="str">
        <x:f>IF(A122="","",DATE(YEAR(A122),MONTH(A122),1))</x:f>
      </x:c>
      <x:c r="C122" s="24"/>
      <x:c r="D122" s="24"/>
      <x:c r="E122" s="24"/>
      <x:c r="F122" s="33"/>
      <x:c r="G122" s="36"/>
      <x:c r="H122" s="36" t="str">
        <x:f>IF(OR(F122="",G122=""),"",F122*G122)</x:f>
      </x:c>
      <x:c r="I122" s="24"/>
      <x:c r="J122" s="36" t="n">
        <x:f>IF(I122="Sim",H122*$B$4,0)</x:f>
        <x:v>0</x:v>
      </x:c>
      <x:c r="K122" s="36" t="str">
        <x:f>IF(H122="","",IF(C122="Receita",H122-J122,-H122-J122))</x:f>
      </x:c>
    </x:row>
    <x:row r="123">
      <x:c r="A123" s="27"/>
      <x:c r="B123" s="30" t="str">
        <x:f>IF(A123="","",DATE(YEAR(A123),MONTH(A123),1))</x:f>
      </x:c>
      <x:c r="C123" s="24"/>
      <x:c r="D123" s="24"/>
      <x:c r="E123" s="24"/>
      <x:c r="F123" s="33"/>
      <x:c r="G123" s="36"/>
      <x:c r="H123" s="36" t="str">
        <x:f>IF(OR(F123="",G123=""),"",F123*G123)</x:f>
      </x:c>
      <x:c r="I123" s="24"/>
      <x:c r="J123" s="36" t="n">
        <x:f>IF(I123="Sim",H123*$B$4,0)</x:f>
        <x:v>0</x:v>
      </x:c>
      <x:c r="K123" s="36" t="str">
        <x:f>IF(H123="","",IF(C123="Receita",H123-J123,-H123-J123))</x:f>
      </x:c>
    </x:row>
    <x:row r="124">
      <x:c r="A124" s="27"/>
      <x:c r="B124" s="30" t="str">
        <x:f>IF(A124="","",DATE(YEAR(A124),MONTH(A124),1))</x:f>
      </x:c>
      <x:c r="C124" s="24"/>
      <x:c r="D124" s="24"/>
      <x:c r="E124" s="24"/>
      <x:c r="F124" s="33"/>
      <x:c r="G124" s="36"/>
      <x:c r="H124" s="36" t="str">
        <x:f>IF(OR(F124="",G124=""),"",F124*G124)</x:f>
      </x:c>
      <x:c r="I124" s="24"/>
      <x:c r="J124" s="36" t="n">
        <x:f>IF(I124="Sim",H124*$B$4,0)</x:f>
        <x:v>0</x:v>
      </x:c>
      <x:c r="K124" s="36" t="str">
        <x:f>IF(H124="","",IF(C124="Receita",H124-J124,-H124-J124))</x:f>
      </x:c>
    </x:row>
    <x:row r="125">
      <x:c r="A125" s="27"/>
      <x:c r="B125" s="30" t="str">
        <x:f>IF(A125="","",DATE(YEAR(A125),MONTH(A125),1))</x:f>
      </x:c>
      <x:c r="C125" s="24"/>
      <x:c r="D125" s="24"/>
      <x:c r="E125" s="24"/>
      <x:c r="F125" s="33"/>
      <x:c r="G125" s="36"/>
      <x:c r="H125" s="36" t="str">
        <x:f>IF(OR(F125="",G125=""),"",F125*G125)</x:f>
      </x:c>
      <x:c r="I125" s="24"/>
      <x:c r="J125" s="36" t="n">
        <x:f>IF(I125="Sim",H125*$B$4,0)</x:f>
        <x:v>0</x:v>
      </x:c>
      <x:c r="K125" s="36" t="str">
        <x:f>IF(H125="","",IF(C125="Receita",H125-J125,-H125-J125))</x:f>
      </x:c>
    </x:row>
    <x:row r="126">
      <x:c r="A126" s="27"/>
      <x:c r="B126" s="30" t="str">
        <x:f>IF(A126="","",DATE(YEAR(A126),MONTH(A126),1))</x:f>
      </x:c>
      <x:c r="C126" s="24"/>
      <x:c r="D126" s="24"/>
      <x:c r="E126" s="24"/>
      <x:c r="F126" s="33"/>
      <x:c r="G126" s="36"/>
      <x:c r="H126" s="36" t="str">
        <x:f>IF(OR(F126="",G126=""),"",F126*G126)</x:f>
      </x:c>
      <x:c r="I126" s="24"/>
      <x:c r="J126" s="36" t="n">
        <x:f>IF(I126="Sim",H126*$B$4,0)</x:f>
        <x:v>0</x:v>
      </x:c>
      <x:c r="K126" s="36" t="str">
        <x:f>IF(H126="","",IF(C126="Receita",H126-J126,-H126-J126))</x:f>
      </x:c>
    </x:row>
    <x:row r="127">
      <x:c r="A127" s="27"/>
      <x:c r="B127" s="30" t="str">
        <x:f>IF(A127="","",DATE(YEAR(A127),MONTH(A127),1))</x:f>
      </x:c>
      <x:c r="C127" s="24"/>
      <x:c r="D127" s="24"/>
      <x:c r="E127" s="24"/>
      <x:c r="F127" s="33"/>
      <x:c r="G127" s="36"/>
      <x:c r="H127" s="36" t="str">
        <x:f>IF(OR(F127="",G127=""),"",F127*G127)</x:f>
      </x:c>
      <x:c r="I127" s="24"/>
      <x:c r="J127" s="36" t="n">
        <x:f>IF(I127="Sim",H127*$B$4,0)</x:f>
        <x:v>0</x:v>
      </x:c>
      <x:c r="K127" s="36" t="str">
        <x:f>IF(H127="","",IF(C127="Receita",H127-J127,-H127-J127))</x:f>
      </x:c>
    </x:row>
    <x:row r="128">
      <x:c r="A128" s="27"/>
      <x:c r="B128" s="30" t="str">
        <x:f>IF(A128="","",DATE(YEAR(A128),MONTH(A128),1))</x:f>
      </x:c>
      <x:c r="C128" s="24"/>
      <x:c r="D128" s="24"/>
      <x:c r="E128" s="24"/>
      <x:c r="F128" s="33"/>
      <x:c r="G128" s="36"/>
      <x:c r="H128" s="36" t="str">
        <x:f>IF(OR(F128="",G128=""),"",F128*G128)</x:f>
      </x:c>
      <x:c r="I128" s="24"/>
      <x:c r="J128" s="36" t="n">
        <x:f>IF(I128="Sim",H128*$B$4,0)</x:f>
        <x:v>0</x:v>
      </x:c>
      <x:c r="K128" s="36" t="str">
        <x:f>IF(H128="","",IF(C128="Receita",H128-J128,-H128-J128))</x:f>
      </x:c>
    </x:row>
    <x:row r="129">
      <x:c r="A129" s="27"/>
      <x:c r="B129" s="30" t="str">
        <x:f>IF(A129="","",DATE(YEAR(A129),MONTH(A129),1))</x:f>
      </x:c>
      <x:c r="C129" s="24"/>
      <x:c r="D129" s="24"/>
      <x:c r="E129" s="24"/>
      <x:c r="F129" s="33"/>
      <x:c r="G129" s="36"/>
      <x:c r="H129" s="36" t="str">
        <x:f>IF(OR(F129="",G129=""),"",F129*G129)</x:f>
      </x:c>
      <x:c r="I129" s="24"/>
      <x:c r="J129" s="36" t="n">
        <x:f>IF(I129="Sim",H129*$B$4,0)</x:f>
        <x:v>0</x:v>
      </x:c>
      <x:c r="K129" s="36" t="str">
        <x:f>IF(H129="","",IF(C129="Receita",H129-J129,-H129-J129))</x:f>
      </x:c>
    </x:row>
    <x:row r="130">
      <x:c r="A130" s="27"/>
      <x:c r="B130" s="30" t="str">
        <x:f>IF(A130="","",DATE(YEAR(A130),MONTH(A130),1))</x:f>
      </x:c>
      <x:c r="C130" s="24"/>
      <x:c r="D130" s="24"/>
      <x:c r="E130" s="24"/>
      <x:c r="F130" s="33"/>
      <x:c r="G130" s="36"/>
      <x:c r="H130" s="36" t="str">
        <x:f>IF(OR(F130="",G130=""),"",F130*G130)</x:f>
      </x:c>
      <x:c r="I130" s="24"/>
      <x:c r="J130" s="36" t="n">
        <x:f>IF(I130="Sim",H130*$B$4,0)</x:f>
        <x:v>0</x:v>
      </x:c>
      <x:c r="K130" s="36" t="str">
        <x:f>IF(H130="","",IF(C130="Receita",H130-J130,-H130-J130))</x:f>
      </x:c>
    </x:row>
    <x:row r="131">
      <x:c r="A131" s="27"/>
      <x:c r="B131" s="30" t="str">
        <x:f>IF(A131="","",DATE(YEAR(A131),MONTH(A131),1))</x:f>
      </x:c>
      <x:c r="C131" s="24"/>
      <x:c r="D131" s="24"/>
      <x:c r="E131" s="24"/>
      <x:c r="F131" s="33"/>
      <x:c r="G131" s="36"/>
      <x:c r="H131" s="36" t="str">
        <x:f>IF(OR(F131="",G131=""),"",F131*G131)</x:f>
      </x:c>
      <x:c r="I131" s="24"/>
      <x:c r="J131" s="36" t="n">
        <x:f>IF(I131="Sim",H131*$B$4,0)</x:f>
        <x:v>0</x:v>
      </x:c>
      <x:c r="K131" s="36" t="str">
        <x:f>IF(H131="","",IF(C131="Receita",H131-J131,-H131-J131))</x:f>
      </x:c>
    </x:row>
    <x:row r="132">
      <x:c r="A132" s="27"/>
      <x:c r="B132" s="30" t="str">
        <x:f>IF(A132="","",DATE(YEAR(A132),MONTH(A132),1))</x:f>
      </x:c>
      <x:c r="C132" s="24"/>
      <x:c r="D132" s="24"/>
      <x:c r="E132" s="24"/>
      <x:c r="F132" s="33"/>
      <x:c r="G132" s="36"/>
      <x:c r="H132" s="36" t="str">
        <x:f>IF(OR(F132="",G132=""),"",F132*G132)</x:f>
      </x:c>
      <x:c r="I132" s="24"/>
      <x:c r="J132" s="36" t="n">
        <x:f>IF(I132="Sim",H132*$B$4,0)</x:f>
        <x:v>0</x:v>
      </x:c>
      <x:c r="K132" s="36" t="str">
        <x:f>IF(H132="","",IF(C132="Receita",H132-J132,-H132-J132))</x:f>
      </x:c>
    </x:row>
    <x:row r="133">
      <x:c r="A133" s="27"/>
      <x:c r="B133" s="30" t="str">
        <x:f>IF(A133="","",DATE(YEAR(A133),MONTH(A133),1))</x:f>
      </x:c>
      <x:c r="C133" s="24"/>
      <x:c r="D133" s="24"/>
      <x:c r="E133" s="24"/>
      <x:c r="F133" s="33"/>
      <x:c r="G133" s="36"/>
      <x:c r="H133" s="36" t="str">
        <x:f>IF(OR(F133="",G133=""),"",F133*G133)</x:f>
      </x:c>
      <x:c r="I133" s="24"/>
      <x:c r="J133" s="36" t="n">
        <x:f>IF(I133="Sim",H133*$B$4,0)</x:f>
        <x:v>0</x:v>
      </x:c>
      <x:c r="K133" s="36" t="str">
        <x:f>IF(H133="","",IF(C133="Receita",H133-J133,-H133-J133))</x:f>
      </x:c>
    </x:row>
    <x:row r="134">
      <x:c r="A134" s="27"/>
      <x:c r="B134" s="30" t="str">
        <x:f>IF(A134="","",DATE(YEAR(A134),MONTH(A134),1))</x:f>
      </x:c>
      <x:c r="C134" s="24"/>
      <x:c r="D134" s="24"/>
      <x:c r="E134" s="24"/>
      <x:c r="F134" s="33"/>
      <x:c r="G134" s="36"/>
      <x:c r="H134" s="36" t="str">
        <x:f>IF(OR(F134="",G134=""),"",F134*G134)</x:f>
      </x:c>
      <x:c r="I134" s="24"/>
      <x:c r="J134" s="36" t="n">
        <x:f>IF(I134="Sim",H134*$B$4,0)</x:f>
        <x:v>0</x:v>
      </x:c>
      <x:c r="K134" s="36" t="str">
        <x:f>IF(H134="","",IF(C134="Receita",H134-J134,-H134-J134))</x:f>
      </x:c>
    </x:row>
    <x:row r="135">
      <x:c r="A135" s="27"/>
      <x:c r="B135" s="30" t="str">
        <x:f>IF(A135="","",DATE(YEAR(A135),MONTH(A135),1))</x:f>
      </x:c>
      <x:c r="C135" s="24"/>
      <x:c r="D135" s="24"/>
      <x:c r="E135" s="24"/>
      <x:c r="F135" s="33"/>
      <x:c r="G135" s="36"/>
      <x:c r="H135" s="36" t="str">
        <x:f>IF(OR(F135="",G135=""),"",F135*G135)</x:f>
      </x:c>
      <x:c r="I135" s="24"/>
      <x:c r="J135" s="36" t="n">
        <x:f>IF(I135="Sim",H135*$B$4,0)</x:f>
        <x:v>0</x:v>
      </x:c>
      <x:c r="K135" s="36" t="str">
        <x:f>IF(H135="","",IF(C135="Receita",H135-J135,-H135-J135))</x:f>
      </x:c>
    </x:row>
    <x:row r="136">
      <x:c r="A136" s="27"/>
      <x:c r="B136" s="30" t="str">
        <x:f>IF(A136="","",DATE(YEAR(A136),MONTH(A136),1))</x:f>
      </x:c>
      <x:c r="C136" s="24"/>
      <x:c r="D136" s="24"/>
      <x:c r="E136" s="24"/>
      <x:c r="F136" s="33"/>
      <x:c r="G136" s="36"/>
      <x:c r="H136" s="36" t="str">
        <x:f>IF(OR(F136="",G136=""),"",F136*G136)</x:f>
      </x:c>
      <x:c r="I136" s="24"/>
      <x:c r="J136" s="36" t="n">
        <x:f>IF(I136="Sim",H136*$B$4,0)</x:f>
        <x:v>0</x:v>
      </x:c>
      <x:c r="K136" s="36" t="str">
        <x:f>IF(H136="","",IF(C136="Receita",H136-J136,-H136-J136))</x:f>
      </x:c>
    </x:row>
    <x:row r="137">
      <x:c r="A137" s="27"/>
      <x:c r="B137" s="30" t="str">
        <x:f>IF(A137="","",DATE(YEAR(A137),MONTH(A137),1))</x:f>
      </x:c>
      <x:c r="C137" s="24"/>
      <x:c r="D137" s="24"/>
      <x:c r="E137" s="24"/>
      <x:c r="F137" s="33"/>
      <x:c r="G137" s="36"/>
      <x:c r="H137" s="36" t="str">
        <x:f>IF(OR(F137="",G137=""),"",F137*G137)</x:f>
      </x:c>
      <x:c r="I137" s="24"/>
      <x:c r="J137" s="36" t="n">
        <x:f>IF(I137="Sim",H137*$B$4,0)</x:f>
        <x:v>0</x:v>
      </x:c>
      <x:c r="K137" s="36" t="str">
        <x:f>IF(H137="","",IF(C137="Receita",H137-J137,-H137-J137))</x:f>
      </x:c>
    </x:row>
    <x:row r="138">
      <x:c r="A138" s="27"/>
      <x:c r="B138" s="30" t="str">
        <x:f>IF(A138="","",DATE(YEAR(A138),MONTH(A138),1))</x:f>
      </x:c>
      <x:c r="C138" s="24"/>
      <x:c r="D138" s="24"/>
      <x:c r="E138" s="24"/>
      <x:c r="F138" s="33"/>
      <x:c r="G138" s="36"/>
      <x:c r="H138" s="36" t="str">
        <x:f>IF(OR(F138="",G138=""),"",F138*G138)</x:f>
      </x:c>
      <x:c r="I138" s="24"/>
      <x:c r="J138" s="36" t="n">
        <x:f>IF(I138="Sim",H138*$B$4,0)</x:f>
        <x:v>0</x:v>
      </x:c>
      <x:c r="K138" s="36" t="str">
        <x:f>IF(H138="","",IF(C138="Receita",H138-J138,-H138-J138))</x:f>
      </x:c>
    </x:row>
    <x:row r="139">
      <x:c r="A139" s="27"/>
      <x:c r="B139" s="30" t="str">
        <x:f>IF(A139="","",DATE(YEAR(A139),MONTH(A139),1))</x:f>
      </x:c>
      <x:c r="C139" s="24"/>
      <x:c r="D139" s="24"/>
      <x:c r="E139" s="24"/>
      <x:c r="F139" s="33"/>
      <x:c r="G139" s="36"/>
      <x:c r="H139" s="36" t="str">
        <x:f>IF(OR(F139="",G139=""),"",F139*G139)</x:f>
      </x:c>
      <x:c r="I139" s="24"/>
      <x:c r="J139" s="36" t="n">
        <x:f>IF(I139="Sim",H139*$B$4,0)</x:f>
        <x:v>0</x:v>
      </x:c>
      <x:c r="K139" s="36" t="str">
        <x:f>IF(H139="","",IF(C139="Receita",H139-J139,-H139-J139))</x:f>
      </x:c>
    </x:row>
    <x:row r="140">
      <x:c r="A140" s="27"/>
      <x:c r="B140" s="30" t="str">
        <x:f>IF(A140="","",DATE(YEAR(A140),MONTH(A140),1))</x:f>
      </x:c>
      <x:c r="C140" s="24"/>
      <x:c r="D140" s="24"/>
      <x:c r="E140" s="24"/>
      <x:c r="F140" s="33"/>
      <x:c r="G140" s="36"/>
      <x:c r="H140" s="36" t="str">
        <x:f>IF(OR(F140="",G140=""),"",F140*G140)</x:f>
      </x:c>
      <x:c r="I140" s="24"/>
      <x:c r="J140" s="36" t="n">
        <x:f>IF(I140="Sim",H140*$B$4,0)</x:f>
        <x:v>0</x:v>
      </x:c>
      <x:c r="K140" s="36" t="str">
        <x:f>IF(H140="","",IF(C140="Receita",H140-J140,-H140-J140))</x:f>
      </x:c>
    </x:row>
    <x:row r="141">
      <x:c r="A141" s="27"/>
      <x:c r="B141" s="30" t="str">
        <x:f>IF(A141="","",DATE(YEAR(A141),MONTH(A141),1))</x:f>
      </x:c>
      <x:c r="C141" s="24"/>
      <x:c r="D141" s="24"/>
      <x:c r="E141" s="24"/>
      <x:c r="F141" s="33"/>
      <x:c r="G141" s="36"/>
      <x:c r="H141" s="36" t="str">
        <x:f>IF(OR(F141="",G141=""),"",F141*G141)</x:f>
      </x:c>
      <x:c r="I141" s="24"/>
      <x:c r="J141" s="36" t="n">
        <x:f>IF(I141="Sim",H141*$B$4,0)</x:f>
        <x:v>0</x:v>
      </x:c>
      <x:c r="K141" s="36" t="str">
        <x:f>IF(H141="","",IF(C141="Receita",H141-J141,-H141-J141))</x:f>
      </x:c>
    </x:row>
    <x:row r="142">
      <x:c r="A142" s="27"/>
      <x:c r="B142" s="30" t="str">
        <x:f>IF(A142="","",DATE(YEAR(A142),MONTH(A142),1))</x:f>
      </x:c>
      <x:c r="C142" s="24"/>
      <x:c r="D142" s="24"/>
      <x:c r="E142" s="24"/>
      <x:c r="F142" s="33"/>
      <x:c r="G142" s="36"/>
      <x:c r="H142" s="36" t="str">
        <x:f>IF(OR(F142="",G142=""),"",F142*G142)</x:f>
      </x:c>
      <x:c r="I142" s="24"/>
      <x:c r="J142" s="36" t="n">
        <x:f>IF(I142="Sim",H142*$B$4,0)</x:f>
        <x:v>0</x:v>
      </x:c>
      <x:c r="K142" s="36" t="str">
        <x:f>IF(H142="","",IF(C142="Receita",H142-J142,-H142-J142))</x:f>
      </x:c>
    </x:row>
    <x:row r="143">
      <x:c r="A143" s="27"/>
      <x:c r="B143" s="30" t="str">
        <x:f>IF(A143="","",DATE(YEAR(A143),MONTH(A143),1))</x:f>
      </x:c>
      <x:c r="C143" s="24"/>
      <x:c r="D143" s="24"/>
      <x:c r="E143" s="24"/>
      <x:c r="F143" s="33"/>
      <x:c r="G143" s="36"/>
      <x:c r="H143" s="36" t="str">
        <x:f>IF(OR(F143="",G143=""),"",F143*G143)</x:f>
      </x:c>
      <x:c r="I143" s="24"/>
      <x:c r="J143" s="36" t="n">
        <x:f>IF(I143="Sim",H143*$B$4,0)</x:f>
        <x:v>0</x:v>
      </x:c>
      <x:c r="K143" s="36" t="str">
        <x:f>IF(H143="","",IF(C143="Receita",H143-J143,-H143-J143))</x:f>
      </x:c>
    </x:row>
    <x:row r="144">
      <x:c r="A144" s="27"/>
      <x:c r="B144" s="30" t="str">
        <x:f>IF(A144="","",DATE(YEAR(A144),MONTH(A144),1))</x:f>
      </x:c>
      <x:c r="C144" s="24"/>
      <x:c r="D144" s="24"/>
      <x:c r="E144" s="24"/>
      <x:c r="F144" s="33"/>
      <x:c r="G144" s="36"/>
      <x:c r="H144" s="36" t="str">
        <x:f>IF(OR(F144="",G144=""),"",F144*G144)</x:f>
      </x:c>
      <x:c r="I144" s="24"/>
      <x:c r="J144" s="36" t="n">
        <x:f>IF(I144="Sim",H144*$B$4,0)</x:f>
        <x:v>0</x:v>
      </x:c>
      <x:c r="K144" s="36" t="str">
        <x:f>IF(H144="","",IF(C144="Receita",H144-J144,-H144-J144))</x:f>
      </x:c>
    </x:row>
    <x:row r="145">
      <x:c r="A145" s="27"/>
      <x:c r="B145" s="30" t="str">
        <x:f>IF(A145="","",DATE(YEAR(A145),MONTH(A145),1))</x:f>
      </x:c>
      <x:c r="C145" s="24"/>
      <x:c r="D145" s="24"/>
      <x:c r="E145" s="24"/>
      <x:c r="F145" s="33"/>
      <x:c r="G145" s="36"/>
      <x:c r="H145" s="36" t="str">
        <x:f>IF(OR(F145="",G145=""),"",F145*G145)</x:f>
      </x:c>
      <x:c r="I145" s="24"/>
      <x:c r="J145" s="36" t="n">
        <x:f>IF(I145="Sim",H145*$B$4,0)</x:f>
        <x:v>0</x:v>
      </x:c>
      <x:c r="K145" s="36" t="str">
        <x:f>IF(H145="","",IF(C145="Receita",H145-J145,-H145-J145))</x:f>
      </x:c>
    </x:row>
    <x:row r="146">
      <x:c r="A146" s="27"/>
      <x:c r="B146" s="30" t="str">
        <x:f>IF(A146="","",DATE(YEAR(A146),MONTH(A146),1))</x:f>
      </x:c>
      <x:c r="C146" s="24"/>
      <x:c r="D146" s="24"/>
      <x:c r="E146" s="24"/>
      <x:c r="F146" s="33"/>
      <x:c r="G146" s="36"/>
      <x:c r="H146" s="36" t="str">
        <x:f>IF(OR(F146="",G146=""),"",F146*G146)</x:f>
      </x:c>
      <x:c r="I146" s="24"/>
      <x:c r="J146" s="36" t="n">
        <x:f>IF(I146="Sim",H146*$B$4,0)</x:f>
        <x:v>0</x:v>
      </x:c>
      <x:c r="K146" s="36" t="str">
        <x:f>IF(H146="","",IF(C146="Receita",H146-J146,-H146-J146))</x:f>
      </x:c>
    </x:row>
    <x:row r="147">
      <x:c r="A147" s="27"/>
      <x:c r="B147" s="30" t="str">
        <x:f>IF(A147="","",DATE(YEAR(A147),MONTH(A147),1))</x:f>
      </x:c>
      <x:c r="C147" s="24"/>
      <x:c r="D147" s="24"/>
      <x:c r="E147" s="24"/>
      <x:c r="F147" s="33"/>
      <x:c r="G147" s="36"/>
      <x:c r="H147" s="36" t="str">
        <x:f>IF(OR(F147="",G147=""),"",F147*G147)</x:f>
      </x:c>
      <x:c r="I147" s="24"/>
      <x:c r="J147" s="36" t="n">
        <x:f>IF(I147="Sim",H147*$B$4,0)</x:f>
        <x:v>0</x:v>
      </x:c>
      <x:c r="K147" s="36" t="str">
        <x:f>IF(H147="","",IF(C147="Receita",H147-J147,-H147-J147))</x:f>
      </x:c>
    </x:row>
    <x:row r="148">
      <x:c r="A148" s="27"/>
      <x:c r="B148" s="30" t="str">
        <x:f>IF(A148="","",DATE(YEAR(A148),MONTH(A148),1))</x:f>
      </x:c>
      <x:c r="C148" s="24"/>
      <x:c r="D148" s="24"/>
      <x:c r="E148" s="24"/>
      <x:c r="F148" s="33"/>
      <x:c r="G148" s="36"/>
      <x:c r="H148" s="36" t="str">
        <x:f>IF(OR(F148="",G148=""),"",F148*G148)</x:f>
      </x:c>
      <x:c r="I148" s="24"/>
      <x:c r="J148" s="36" t="n">
        <x:f>IF(I148="Sim",H148*$B$4,0)</x:f>
        <x:v>0</x:v>
      </x:c>
      <x:c r="K148" s="36" t="str">
        <x:f>IF(H148="","",IF(C148="Receita",H148-J148,-H148-J148))</x:f>
      </x:c>
    </x:row>
    <x:row r="149">
      <x:c r="A149" s="27"/>
      <x:c r="B149" s="30" t="str">
        <x:f>IF(A149="","",DATE(YEAR(A149),MONTH(A149),1))</x:f>
      </x:c>
      <x:c r="C149" s="24"/>
      <x:c r="D149" s="24"/>
      <x:c r="E149" s="24"/>
      <x:c r="F149" s="33"/>
      <x:c r="G149" s="36"/>
      <x:c r="H149" s="36" t="str">
        <x:f>IF(OR(F149="",G149=""),"",F149*G149)</x:f>
      </x:c>
      <x:c r="I149" s="24"/>
      <x:c r="J149" s="36" t="n">
        <x:f>IF(I149="Sim",H149*$B$4,0)</x:f>
        <x:v>0</x:v>
      </x:c>
      <x:c r="K149" s="36" t="str">
        <x:f>IF(H149="","",IF(C149="Receita",H149-J149,-H149-J149))</x:f>
      </x:c>
    </x:row>
    <x:row r="150">
      <x:c r="A150" s="27"/>
      <x:c r="B150" s="30" t="str">
        <x:f>IF(A150="","",DATE(YEAR(A150),MONTH(A150),1))</x:f>
      </x:c>
      <x:c r="C150" s="24"/>
      <x:c r="D150" s="24"/>
      <x:c r="E150" s="24"/>
      <x:c r="F150" s="33"/>
      <x:c r="G150" s="36"/>
      <x:c r="H150" s="36" t="str">
        <x:f>IF(OR(F150="",G150=""),"",F150*G150)</x:f>
      </x:c>
      <x:c r="I150" s="24"/>
      <x:c r="J150" s="36" t="n">
        <x:f>IF(I150="Sim",H150*$B$4,0)</x:f>
        <x:v>0</x:v>
      </x:c>
      <x:c r="K150" s="36" t="str">
        <x:f>IF(H150="","",IF(C150="Receita",H150-J150,-H150-J150))</x:f>
      </x:c>
    </x:row>
    <x:row r="151">
      <x:c r="A151" s="27"/>
      <x:c r="B151" s="30" t="str">
        <x:f>IF(A151="","",DATE(YEAR(A151),MONTH(A151),1))</x:f>
      </x:c>
      <x:c r="C151" s="24"/>
      <x:c r="D151" s="24"/>
      <x:c r="E151" s="24"/>
      <x:c r="F151" s="33"/>
      <x:c r="G151" s="36"/>
      <x:c r="H151" s="36" t="str">
        <x:f>IF(OR(F151="",G151=""),"",F151*G151)</x:f>
      </x:c>
      <x:c r="I151" s="24"/>
      <x:c r="J151" s="36" t="n">
        <x:f>IF(I151="Sim",H151*$B$4,0)</x:f>
        <x:v>0</x:v>
      </x:c>
      <x:c r="K151" s="36" t="str">
        <x:f>IF(H151="","",IF(C151="Receita",H151-J151,-H151-J151))</x:f>
      </x:c>
    </x:row>
    <x:row r="152">
      <x:c r="A152" s="27"/>
      <x:c r="B152" s="30" t="str">
        <x:f>IF(A152="","",DATE(YEAR(A152),MONTH(A152),1))</x:f>
      </x:c>
      <x:c r="C152" s="24"/>
      <x:c r="D152" s="24"/>
      <x:c r="E152" s="24"/>
      <x:c r="F152" s="33"/>
      <x:c r="G152" s="36"/>
      <x:c r="H152" s="36" t="str">
        <x:f>IF(OR(F152="",G152=""),"",F152*G152)</x:f>
      </x:c>
      <x:c r="I152" s="24"/>
      <x:c r="J152" s="36" t="n">
        <x:f>IF(I152="Sim",H152*$B$4,0)</x:f>
        <x:v>0</x:v>
      </x:c>
      <x:c r="K152" s="36" t="str">
        <x:f>IF(H152="","",IF(C152="Receita",H152-J152,-H152-J152))</x:f>
      </x:c>
    </x:row>
    <x:row r="153">
      <x:c r="A153" s="27"/>
      <x:c r="B153" s="30" t="str">
        <x:f>IF(A153="","",DATE(YEAR(A153),MONTH(A153),1))</x:f>
      </x:c>
      <x:c r="C153" s="24"/>
      <x:c r="D153" s="24"/>
      <x:c r="E153" s="24"/>
      <x:c r="F153" s="33"/>
      <x:c r="G153" s="36"/>
      <x:c r="H153" s="36" t="str">
        <x:f>IF(OR(F153="",G153=""),"",F153*G153)</x:f>
      </x:c>
      <x:c r="I153" s="24"/>
      <x:c r="J153" s="36" t="n">
        <x:f>IF(I153="Sim",H153*$B$4,0)</x:f>
        <x:v>0</x:v>
      </x:c>
      <x:c r="K153" s="36" t="str">
        <x:f>IF(H153="","",IF(C153="Receita",H153-J153,-H153-J153))</x:f>
      </x:c>
    </x:row>
    <x:row r="154">
      <x:c r="A154" s="27"/>
      <x:c r="B154" s="30" t="str">
        <x:f>IF(A154="","",DATE(YEAR(A154),MONTH(A154),1))</x:f>
      </x:c>
      <x:c r="C154" s="24"/>
      <x:c r="D154" s="24"/>
      <x:c r="E154" s="24"/>
      <x:c r="F154" s="33"/>
      <x:c r="G154" s="36"/>
      <x:c r="H154" s="36" t="str">
        <x:f>IF(OR(F154="",G154=""),"",F154*G154)</x:f>
      </x:c>
      <x:c r="I154" s="24"/>
      <x:c r="J154" s="36" t="n">
        <x:f>IF(I154="Sim",H154*$B$4,0)</x:f>
        <x:v>0</x:v>
      </x:c>
      <x:c r="K154" s="36" t="str">
        <x:f>IF(H154="","",IF(C154="Receita",H154-J154,-H154-J154))</x:f>
      </x:c>
    </x:row>
    <x:row r="155">
      <x:c r="A155" s="27"/>
      <x:c r="B155" s="30" t="str">
        <x:f>IF(A155="","",DATE(YEAR(A155),MONTH(A155),1))</x:f>
      </x:c>
      <x:c r="C155" s="24"/>
      <x:c r="D155" s="24"/>
      <x:c r="E155" s="24"/>
      <x:c r="F155" s="33"/>
      <x:c r="G155" s="36"/>
      <x:c r="H155" s="36" t="str">
        <x:f>IF(OR(F155="",G155=""),"",F155*G155)</x:f>
      </x:c>
      <x:c r="I155" s="24"/>
      <x:c r="J155" s="36" t="n">
        <x:f>IF(I155="Sim",H155*$B$4,0)</x:f>
        <x:v>0</x:v>
      </x:c>
      <x:c r="K155" s="36" t="str">
        <x:f>IF(H155="","",IF(C155="Receita",H155-J155,-H155-J155))</x:f>
      </x:c>
    </x:row>
    <x:row r="156">
      <x:c r="A156" s="27"/>
      <x:c r="B156" s="30" t="str">
        <x:f>IF(A156="","",DATE(YEAR(A156),MONTH(A156),1))</x:f>
      </x:c>
      <x:c r="C156" s="24"/>
      <x:c r="D156" s="24"/>
      <x:c r="E156" s="24"/>
      <x:c r="F156" s="33"/>
      <x:c r="G156" s="36"/>
      <x:c r="H156" s="36" t="str">
        <x:f>IF(OR(F156="",G156=""),"",F156*G156)</x:f>
      </x:c>
      <x:c r="I156" s="24"/>
      <x:c r="J156" s="36" t="n">
        <x:f>IF(I156="Sim",H156*$B$4,0)</x:f>
        <x:v>0</x:v>
      </x:c>
      <x:c r="K156" s="36" t="str">
        <x:f>IF(H156="","",IF(C156="Receita",H156-J156,-H156-J156))</x:f>
      </x:c>
    </x:row>
    <x:row r="157">
      <x:c r="A157" s="27"/>
      <x:c r="B157" s="30" t="str">
        <x:f>IF(A157="","",DATE(YEAR(A157),MONTH(A157),1))</x:f>
      </x:c>
      <x:c r="C157" s="24"/>
      <x:c r="D157" s="24"/>
      <x:c r="E157" s="24"/>
      <x:c r="F157" s="33"/>
      <x:c r="G157" s="36"/>
      <x:c r="H157" s="36" t="str">
        <x:f>IF(OR(F157="",G157=""),"",F157*G157)</x:f>
      </x:c>
      <x:c r="I157" s="24"/>
      <x:c r="J157" s="36" t="n">
        <x:f>IF(I157="Sim",H157*$B$4,0)</x:f>
        <x:v>0</x:v>
      </x:c>
      <x:c r="K157" s="36" t="str">
        <x:f>IF(H157="","",IF(C157="Receita",H157-J157,-H157-J157))</x:f>
      </x:c>
    </x:row>
    <x:row r="158">
      <x:c r="A158" s="27"/>
      <x:c r="B158" s="30" t="str">
        <x:f>IF(A158="","",DATE(YEAR(A158),MONTH(A158),1))</x:f>
      </x:c>
      <x:c r="C158" s="24"/>
      <x:c r="D158" s="24"/>
      <x:c r="E158" s="24"/>
      <x:c r="F158" s="33"/>
      <x:c r="G158" s="36"/>
      <x:c r="H158" s="36" t="str">
        <x:f>IF(OR(F158="",G158=""),"",F158*G158)</x:f>
      </x:c>
      <x:c r="I158" s="24"/>
      <x:c r="J158" s="36" t="n">
        <x:f>IF(I158="Sim",H158*$B$4,0)</x:f>
        <x:v>0</x:v>
      </x:c>
      <x:c r="K158" s="36" t="str">
        <x:f>IF(H158="","",IF(C158="Receita",H158-J158,-H158-J158))</x:f>
      </x:c>
    </x:row>
    <x:row r="159">
      <x:c r="A159" s="27"/>
      <x:c r="B159" s="30" t="str">
        <x:f>IF(A159="","",DATE(YEAR(A159),MONTH(A159),1))</x:f>
      </x:c>
      <x:c r="C159" s="24"/>
      <x:c r="D159" s="24"/>
      <x:c r="E159" s="24"/>
      <x:c r="F159" s="33"/>
      <x:c r="G159" s="36"/>
      <x:c r="H159" s="36" t="str">
        <x:f>IF(OR(F159="",G159=""),"",F159*G159)</x:f>
      </x:c>
      <x:c r="I159" s="24"/>
      <x:c r="J159" s="36" t="n">
        <x:f>IF(I159="Sim",H159*$B$4,0)</x:f>
        <x:v>0</x:v>
      </x:c>
      <x:c r="K159" s="36" t="str">
        <x:f>IF(H159="","",IF(C159="Receita",H159-J159,-H159-J159))</x:f>
      </x:c>
    </x:row>
    <x:row r="160">
      <x:c r="A160" s="27"/>
      <x:c r="B160" s="30" t="str">
        <x:f>IF(A160="","",DATE(YEAR(A160),MONTH(A160),1))</x:f>
      </x:c>
      <x:c r="C160" s="24"/>
      <x:c r="D160" s="24"/>
      <x:c r="E160" s="24"/>
      <x:c r="F160" s="33"/>
      <x:c r="G160" s="36"/>
      <x:c r="H160" s="36" t="str">
        <x:f>IF(OR(F160="",G160=""),"",F160*G160)</x:f>
      </x:c>
      <x:c r="I160" s="24"/>
      <x:c r="J160" s="36" t="n">
        <x:f>IF(I160="Sim",H160*$B$4,0)</x:f>
        <x:v>0</x:v>
      </x:c>
      <x:c r="K160" s="36" t="str">
        <x:f>IF(H160="","",IF(C160="Receita",H160-J160,-H160-J160))</x:f>
      </x:c>
    </x:row>
    <x:row r="161">
      <x:c r="A161" s="27"/>
      <x:c r="B161" s="30" t="str">
        <x:f>IF(A161="","",DATE(YEAR(A161),MONTH(A161),1))</x:f>
      </x:c>
      <x:c r="C161" s="24"/>
      <x:c r="D161" s="24"/>
      <x:c r="E161" s="24"/>
      <x:c r="F161" s="33"/>
      <x:c r="G161" s="36"/>
      <x:c r="H161" s="36" t="str">
        <x:f>IF(OR(F161="",G161=""),"",F161*G161)</x:f>
      </x:c>
      <x:c r="I161" s="24"/>
      <x:c r="J161" s="36" t="n">
        <x:f>IF(I161="Sim",H161*$B$4,0)</x:f>
        <x:v>0</x:v>
      </x:c>
      <x:c r="K161" s="36" t="str">
        <x:f>IF(H161="","",IF(C161="Receita",H161-J161,-H161-J161))</x:f>
      </x:c>
    </x:row>
    <x:row r="162">
      <x:c r="A162" s="27"/>
      <x:c r="B162" s="30" t="str">
        <x:f>IF(A162="","",DATE(YEAR(A162),MONTH(A162),1))</x:f>
      </x:c>
      <x:c r="C162" s="24"/>
      <x:c r="D162" s="24"/>
      <x:c r="E162" s="24"/>
      <x:c r="F162" s="33"/>
      <x:c r="G162" s="36"/>
      <x:c r="H162" s="36" t="str">
        <x:f>IF(OR(F162="",G162=""),"",F162*G162)</x:f>
      </x:c>
      <x:c r="I162" s="24"/>
      <x:c r="J162" s="36" t="n">
        <x:f>IF(I162="Sim",H162*$B$4,0)</x:f>
        <x:v>0</x:v>
      </x:c>
      <x:c r="K162" s="36" t="str">
        <x:f>IF(H162="","",IF(C162="Receita",H162-J162,-H162-J162))</x:f>
      </x:c>
    </x:row>
    <x:row r="163">
      <x:c r="A163" s="27"/>
      <x:c r="B163" s="30" t="str">
        <x:f>IF(A163="","",DATE(YEAR(A163),MONTH(A163),1))</x:f>
      </x:c>
      <x:c r="C163" s="24"/>
      <x:c r="D163" s="24"/>
      <x:c r="E163" s="24"/>
      <x:c r="F163" s="33"/>
      <x:c r="G163" s="36"/>
      <x:c r="H163" s="36" t="str">
        <x:f>IF(OR(F163="",G163=""),"",F163*G163)</x:f>
      </x:c>
      <x:c r="I163" s="24"/>
      <x:c r="J163" s="36" t="n">
        <x:f>IF(I163="Sim",H163*$B$4,0)</x:f>
        <x:v>0</x:v>
      </x:c>
      <x:c r="K163" s="36" t="str">
        <x:f>IF(H163="","",IF(C163="Receita",H163-J163,-H163-J163))</x:f>
      </x:c>
    </x:row>
    <x:row r="164">
      <x:c r="A164" s="27"/>
      <x:c r="B164" s="30" t="str">
        <x:f>IF(A164="","",DATE(YEAR(A164),MONTH(A164),1))</x:f>
      </x:c>
      <x:c r="C164" s="24"/>
      <x:c r="D164" s="24"/>
      <x:c r="E164" s="24"/>
      <x:c r="F164" s="33"/>
      <x:c r="G164" s="36"/>
      <x:c r="H164" s="36" t="str">
        <x:f>IF(OR(F164="",G164=""),"",F164*G164)</x:f>
      </x:c>
      <x:c r="I164" s="24"/>
      <x:c r="J164" s="36" t="n">
        <x:f>IF(I164="Sim",H164*$B$4,0)</x:f>
        <x:v>0</x:v>
      </x:c>
      <x:c r="K164" s="36" t="str">
        <x:f>IF(H164="","",IF(C164="Receita",H164-J164,-H164-J164))</x:f>
      </x:c>
    </x:row>
    <x:row r="165">
      <x:c r="A165" s="27"/>
      <x:c r="B165" s="30" t="str">
        <x:f>IF(A165="","",DATE(YEAR(A165),MONTH(A165),1))</x:f>
      </x:c>
      <x:c r="C165" s="24"/>
      <x:c r="D165" s="24"/>
      <x:c r="E165" s="24"/>
      <x:c r="F165" s="33"/>
      <x:c r="G165" s="36"/>
      <x:c r="H165" s="36" t="str">
        <x:f>IF(OR(F165="",G165=""),"",F165*G165)</x:f>
      </x:c>
      <x:c r="I165" s="24"/>
      <x:c r="J165" s="36" t="n">
        <x:f>IF(I165="Sim",H165*$B$4,0)</x:f>
        <x:v>0</x:v>
      </x:c>
      <x:c r="K165" s="36" t="str">
        <x:f>IF(H165="","",IF(C165="Receita",H165-J165,-H165-J165))</x:f>
      </x:c>
    </x:row>
    <x:row r="166">
      <x:c r="A166" s="27"/>
      <x:c r="B166" s="30" t="str">
        <x:f>IF(A166="","",DATE(YEAR(A166),MONTH(A166),1))</x:f>
      </x:c>
      <x:c r="C166" s="24"/>
      <x:c r="D166" s="24"/>
      <x:c r="E166" s="24"/>
      <x:c r="F166" s="33"/>
      <x:c r="G166" s="36"/>
      <x:c r="H166" s="36" t="str">
        <x:f>IF(OR(F166="",G166=""),"",F166*G166)</x:f>
      </x:c>
      <x:c r="I166" s="24"/>
      <x:c r="J166" s="36" t="n">
        <x:f>IF(I166="Sim",H166*$B$4,0)</x:f>
        <x:v>0</x:v>
      </x:c>
      <x:c r="K166" s="36" t="str">
        <x:f>IF(H166="","",IF(C166="Receita",H166-J166,-H166-J166))</x:f>
      </x:c>
    </x:row>
    <x:row r="167">
      <x:c r="A167" s="27"/>
      <x:c r="B167" s="30" t="str">
        <x:f>IF(A167="","",DATE(YEAR(A167),MONTH(A167),1))</x:f>
      </x:c>
      <x:c r="C167" s="24"/>
      <x:c r="D167" s="24"/>
      <x:c r="E167" s="24"/>
      <x:c r="F167" s="33"/>
      <x:c r="G167" s="36"/>
      <x:c r="H167" s="36" t="str">
        <x:f>IF(OR(F167="",G167=""),"",F167*G167)</x:f>
      </x:c>
      <x:c r="I167" s="24"/>
      <x:c r="J167" s="36" t="n">
        <x:f>IF(I167="Sim",H167*$B$4,0)</x:f>
        <x:v>0</x:v>
      </x:c>
      <x:c r="K167" s="36" t="str">
        <x:f>IF(H167="","",IF(C167="Receita",H167-J167,-H167-J167))</x:f>
      </x:c>
    </x:row>
    <x:row r="168">
      <x:c r="A168" s="27"/>
      <x:c r="B168" s="30" t="str">
        <x:f>IF(A168="","",DATE(YEAR(A168),MONTH(A168),1))</x:f>
      </x:c>
      <x:c r="C168" s="24"/>
      <x:c r="D168" s="24"/>
      <x:c r="E168" s="24"/>
      <x:c r="F168" s="33"/>
      <x:c r="G168" s="36"/>
      <x:c r="H168" s="36" t="str">
        <x:f>IF(OR(F168="",G168=""),"",F168*G168)</x:f>
      </x:c>
      <x:c r="I168" s="24"/>
      <x:c r="J168" s="36" t="n">
        <x:f>IF(I168="Sim",H168*$B$4,0)</x:f>
        <x:v>0</x:v>
      </x:c>
      <x:c r="K168" s="36" t="str">
        <x:f>IF(H168="","",IF(C168="Receita",H168-J168,-H168-J168))</x:f>
      </x:c>
    </x:row>
    <x:row r="169">
      <x:c r="A169" s="27"/>
      <x:c r="B169" s="30" t="str">
        <x:f>IF(A169="","",DATE(YEAR(A169),MONTH(A169),1))</x:f>
      </x:c>
      <x:c r="C169" s="24"/>
      <x:c r="D169" s="24"/>
      <x:c r="E169" s="24"/>
      <x:c r="F169" s="33"/>
      <x:c r="G169" s="36"/>
      <x:c r="H169" s="36" t="str">
        <x:f>IF(OR(F169="",G169=""),"",F169*G169)</x:f>
      </x:c>
      <x:c r="I169" s="24"/>
      <x:c r="J169" s="36" t="n">
        <x:f>IF(I169="Sim",H169*$B$4,0)</x:f>
        <x:v>0</x:v>
      </x:c>
      <x:c r="K169" s="36" t="str">
        <x:f>IF(H169="","",IF(C169="Receita",H169-J169,-H169-J169))</x:f>
      </x:c>
    </x:row>
    <x:row r="170">
      <x:c r="A170" s="27"/>
      <x:c r="B170" s="30" t="str">
        <x:f>IF(A170="","",DATE(YEAR(A170),MONTH(A170),1))</x:f>
      </x:c>
      <x:c r="C170" s="24"/>
      <x:c r="D170" s="24"/>
      <x:c r="E170" s="24"/>
      <x:c r="F170" s="33"/>
      <x:c r="G170" s="36"/>
      <x:c r="H170" s="36" t="str">
        <x:f>IF(OR(F170="",G170=""),"",F170*G170)</x:f>
      </x:c>
      <x:c r="I170" s="24"/>
      <x:c r="J170" s="36" t="n">
        <x:f>IF(I170="Sim",H170*$B$4,0)</x:f>
        <x:v>0</x:v>
      </x:c>
      <x:c r="K170" s="36" t="str">
        <x:f>IF(H170="","",IF(C170="Receita",H170-J170,-H170-J170))</x:f>
      </x:c>
    </x:row>
    <x:row r="171">
      <x:c r="A171" s="27"/>
      <x:c r="B171" s="30" t="str">
        <x:f>IF(A171="","",DATE(YEAR(A171),MONTH(A171),1))</x:f>
      </x:c>
      <x:c r="C171" s="24"/>
      <x:c r="D171" s="24"/>
      <x:c r="E171" s="24"/>
      <x:c r="F171" s="33"/>
      <x:c r="G171" s="36"/>
      <x:c r="H171" s="36" t="str">
        <x:f>IF(OR(F171="",G171=""),"",F171*G171)</x:f>
      </x:c>
      <x:c r="I171" s="24"/>
      <x:c r="J171" s="36" t="n">
        <x:f>IF(I171="Sim",H171*$B$4,0)</x:f>
        <x:v>0</x:v>
      </x:c>
      <x:c r="K171" s="36" t="str">
        <x:f>IF(H171="","",IF(C171="Receita",H171-J171,-H171-J171))</x:f>
      </x:c>
    </x:row>
    <x:row r="172">
      <x:c r="A172" s="27"/>
      <x:c r="B172" s="30" t="str">
        <x:f>IF(A172="","",DATE(YEAR(A172),MONTH(A172),1))</x:f>
      </x:c>
      <x:c r="C172" s="24"/>
      <x:c r="D172" s="24"/>
      <x:c r="E172" s="24"/>
      <x:c r="F172" s="33"/>
      <x:c r="G172" s="36"/>
      <x:c r="H172" s="36" t="str">
        <x:f>IF(OR(F172="",G172=""),"",F172*G172)</x:f>
      </x:c>
      <x:c r="I172" s="24"/>
      <x:c r="J172" s="36" t="n">
        <x:f>IF(I172="Sim",H172*$B$4,0)</x:f>
        <x:v>0</x:v>
      </x:c>
      <x:c r="K172" s="36" t="str">
        <x:f>IF(H172="","",IF(C172="Receita",H172-J172,-H172-J172))</x:f>
      </x:c>
    </x:row>
    <x:row r="173">
      <x:c r="A173" s="27"/>
      <x:c r="B173" s="30" t="str">
        <x:f>IF(A173="","",DATE(YEAR(A173),MONTH(A173),1))</x:f>
      </x:c>
      <x:c r="C173" s="24"/>
      <x:c r="D173" s="24"/>
      <x:c r="E173" s="24"/>
      <x:c r="F173" s="33"/>
      <x:c r="G173" s="36"/>
      <x:c r="H173" s="36" t="str">
        <x:f>IF(OR(F173="",G173=""),"",F173*G173)</x:f>
      </x:c>
      <x:c r="I173" s="24"/>
      <x:c r="J173" s="36" t="n">
        <x:f>IF(I173="Sim",H173*$B$4,0)</x:f>
        <x:v>0</x:v>
      </x:c>
      <x:c r="K173" s="36" t="str">
        <x:f>IF(H173="","",IF(C173="Receita",H173-J173,-H173-J173))</x:f>
      </x:c>
    </x:row>
    <x:row r="174">
      <x:c r="A174" s="27"/>
      <x:c r="B174" s="30" t="str">
        <x:f>IF(A174="","",DATE(YEAR(A174),MONTH(A174),1))</x:f>
      </x:c>
      <x:c r="C174" s="24"/>
      <x:c r="D174" s="24"/>
      <x:c r="E174" s="24"/>
      <x:c r="F174" s="33"/>
      <x:c r="G174" s="36"/>
      <x:c r="H174" s="36" t="str">
        <x:f>IF(OR(F174="",G174=""),"",F174*G174)</x:f>
      </x:c>
      <x:c r="I174" s="24"/>
      <x:c r="J174" s="36" t="n">
        <x:f>IF(I174="Sim",H174*$B$4,0)</x:f>
        <x:v>0</x:v>
      </x:c>
      <x:c r="K174" s="36" t="str">
        <x:f>IF(H174="","",IF(C174="Receita",H174-J174,-H174-J174))</x:f>
      </x:c>
    </x:row>
    <x:row r="175">
      <x:c r="A175" s="27"/>
      <x:c r="B175" s="30" t="str">
        <x:f>IF(A175="","",DATE(YEAR(A175),MONTH(A175),1))</x:f>
      </x:c>
      <x:c r="C175" s="24"/>
      <x:c r="D175" s="24"/>
      <x:c r="E175" s="24"/>
      <x:c r="F175" s="33"/>
      <x:c r="G175" s="36"/>
      <x:c r="H175" s="36" t="str">
        <x:f>IF(OR(F175="",G175=""),"",F175*G175)</x:f>
      </x:c>
      <x:c r="I175" s="24"/>
      <x:c r="J175" s="36" t="n">
        <x:f>IF(I175="Sim",H175*$B$4,0)</x:f>
        <x:v>0</x:v>
      </x:c>
      <x:c r="K175" s="36" t="str">
        <x:f>IF(H175="","",IF(C175="Receita",H175-J175,-H175-J175))</x:f>
      </x:c>
    </x:row>
    <x:row r="176">
      <x:c r="A176" s="27"/>
      <x:c r="B176" s="30" t="str">
        <x:f>IF(A176="","",DATE(YEAR(A176),MONTH(A176),1))</x:f>
      </x:c>
      <x:c r="C176" s="24"/>
      <x:c r="D176" s="24"/>
      <x:c r="E176" s="24"/>
      <x:c r="F176" s="33"/>
      <x:c r="G176" s="36"/>
      <x:c r="H176" s="36" t="str">
        <x:f>IF(OR(F176="",G176=""),"",F176*G176)</x:f>
      </x:c>
      <x:c r="I176" s="24"/>
      <x:c r="J176" s="36" t="n">
        <x:f>IF(I176="Sim",H176*$B$4,0)</x:f>
        <x:v>0</x:v>
      </x:c>
      <x:c r="K176" s="36" t="str">
        <x:f>IF(H176="","",IF(C176="Receita",H176-J176,-H176-J176))</x:f>
      </x:c>
    </x:row>
    <x:row r="177">
      <x:c r="A177" s="27"/>
      <x:c r="B177" s="30" t="str">
        <x:f>IF(A177="","",DATE(YEAR(A177),MONTH(A177),1))</x:f>
      </x:c>
      <x:c r="C177" s="24"/>
      <x:c r="D177" s="24"/>
      <x:c r="E177" s="24"/>
      <x:c r="F177" s="33"/>
      <x:c r="G177" s="36"/>
      <x:c r="H177" s="36" t="str">
        <x:f>IF(OR(F177="",G177=""),"",F177*G177)</x:f>
      </x:c>
      <x:c r="I177" s="24"/>
      <x:c r="J177" s="36" t="n">
        <x:f>IF(I177="Sim",H177*$B$4,0)</x:f>
        <x:v>0</x:v>
      </x:c>
      <x:c r="K177" s="36" t="str">
        <x:f>IF(H177="","",IF(C177="Receita",H177-J177,-H177-J177))</x:f>
      </x:c>
    </x:row>
    <x:row r="178">
      <x:c r="A178" s="27"/>
      <x:c r="B178" s="30" t="str">
        <x:f>IF(A178="","",DATE(YEAR(A178),MONTH(A178),1))</x:f>
      </x:c>
      <x:c r="C178" s="24"/>
      <x:c r="D178" s="24"/>
      <x:c r="E178" s="24"/>
      <x:c r="F178" s="33"/>
      <x:c r="G178" s="36"/>
      <x:c r="H178" s="36" t="str">
        <x:f>IF(OR(F178="",G178=""),"",F178*G178)</x:f>
      </x:c>
      <x:c r="I178" s="24"/>
      <x:c r="J178" s="36" t="n">
        <x:f>IF(I178="Sim",H178*$B$4,0)</x:f>
        <x:v>0</x:v>
      </x:c>
      <x:c r="K178" s="36" t="str">
        <x:f>IF(H178="","",IF(C178="Receita",H178-J178,-H178-J178))</x:f>
      </x:c>
    </x:row>
    <x:row r="179">
      <x:c r="A179" s="27"/>
      <x:c r="B179" s="30" t="str">
        <x:f>IF(A179="","",DATE(YEAR(A179),MONTH(A179),1))</x:f>
      </x:c>
      <x:c r="C179" s="24"/>
      <x:c r="D179" s="24"/>
      <x:c r="E179" s="24"/>
      <x:c r="F179" s="33"/>
      <x:c r="G179" s="36"/>
      <x:c r="H179" s="36" t="str">
        <x:f>IF(OR(F179="",G179=""),"",F179*G179)</x:f>
      </x:c>
      <x:c r="I179" s="24"/>
      <x:c r="J179" s="36" t="n">
        <x:f>IF(I179="Sim",H179*$B$4,0)</x:f>
        <x:v>0</x:v>
      </x:c>
      <x:c r="K179" s="36" t="str">
        <x:f>IF(H179="","",IF(C179="Receita",H179-J179,-H179-J179))</x:f>
      </x:c>
    </x:row>
    <x:row r="180">
      <x:c r="A180" s="27"/>
      <x:c r="B180" s="30" t="str">
        <x:f>IF(A180="","",DATE(YEAR(A180),MONTH(A180),1))</x:f>
      </x:c>
      <x:c r="C180" s="24"/>
      <x:c r="D180" s="24"/>
      <x:c r="E180" s="24"/>
      <x:c r="F180" s="33"/>
      <x:c r="G180" s="36"/>
      <x:c r="H180" s="36" t="str">
        <x:f>IF(OR(F180="",G180=""),"",F180*G180)</x:f>
      </x:c>
      <x:c r="I180" s="24"/>
      <x:c r="J180" s="36" t="n">
        <x:f>IF(I180="Sim",H180*$B$4,0)</x:f>
        <x:v>0</x:v>
      </x:c>
      <x:c r="K180" s="36" t="str">
        <x:f>IF(H180="","",IF(C180="Receita",H180-J180,-H180-J180))</x:f>
      </x:c>
    </x:row>
    <x:row r="181">
      <x:c r="A181" s="27"/>
      <x:c r="B181" s="30" t="str">
        <x:f>IF(A181="","",DATE(YEAR(A181),MONTH(A181),1))</x:f>
      </x:c>
      <x:c r="C181" s="24"/>
      <x:c r="D181" s="24"/>
      <x:c r="E181" s="24"/>
      <x:c r="F181" s="33"/>
      <x:c r="G181" s="36"/>
      <x:c r="H181" s="36" t="str">
        <x:f>IF(OR(F181="",G181=""),"",F181*G181)</x:f>
      </x:c>
      <x:c r="I181" s="24"/>
      <x:c r="J181" s="36" t="n">
        <x:f>IF(I181="Sim",H181*$B$4,0)</x:f>
        <x:v>0</x:v>
      </x:c>
      <x:c r="K181" s="36" t="str">
        <x:f>IF(H181="","",IF(C181="Receita",H181-J181,-H181-J181))</x:f>
      </x:c>
    </x:row>
    <x:row r="182">
      <x:c r="A182" s="27"/>
      <x:c r="B182" s="30" t="str">
        <x:f>IF(A182="","",DATE(YEAR(A182),MONTH(A182),1))</x:f>
      </x:c>
      <x:c r="C182" s="24"/>
      <x:c r="D182" s="24"/>
      <x:c r="E182" s="24"/>
      <x:c r="F182" s="33"/>
      <x:c r="G182" s="36"/>
      <x:c r="H182" s="36" t="str">
        <x:f>IF(OR(F182="",G182=""),"",F182*G182)</x:f>
      </x:c>
      <x:c r="I182" s="24"/>
      <x:c r="J182" s="36" t="n">
        <x:f>IF(I182="Sim",H182*$B$4,0)</x:f>
        <x:v>0</x:v>
      </x:c>
      <x:c r="K182" s="36" t="str">
        <x:f>IF(H182="","",IF(C182="Receita",H182-J182,-H182-J182))</x:f>
      </x:c>
    </x:row>
    <x:row r="183">
      <x:c r="A183" s="27"/>
      <x:c r="B183" s="30" t="str">
        <x:f>IF(A183="","",DATE(YEAR(A183),MONTH(A183),1))</x:f>
      </x:c>
      <x:c r="C183" s="24"/>
      <x:c r="D183" s="24"/>
      <x:c r="E183" s="24"/>
      <x:c r="F183" s="33"/>
      <x:c r="G183" s="36"/>
      <x:c r="H183" s="36" t="str">
        <x:f>IF(OR(F183="",G183=""),"",F183*G183)</x:f>
      </x:c>
      <x:c r="I183" s="24"/>
      <x:c r="J183" s="36" t="n">
        <x:f>IF(I183="Sim",H183*$B$4,0)</x:f>
        <x:v>0</x:v>
      </x:c>
      <x:c r="K183" s="36" t="str">
        <x:f>IF(H183="","",IF(C183="Receita",H183-J183,-H183-J183))</x:f>
      </x:c>
    </x:row>
    <x:row r="184">
      <x:c r="A184" s="27"/>
      <x:c r="B184" s="30" t="str">
        <x:f>IF(A184="","",DATE(YEAR(A184),MONTH(A184),1))</x:f>
      </x:c>
      <x:c r="C184" s="24"/>
      <x:c r="D184" s="24"/>
      <x:c r="E184" s="24"/>
      <x:c r="F184" s="33"/>
      <x:c r="G184" s="36"/>
      <x:c r="H184" s="36" t="str">
        <x:f>IF(OR(F184="",G184=""),"",F184*G184)</x:f>
      </x:c>
      <x:c r="I184" s="24"/>
      <x:c r="J184" s="36" t="n">
        <x:f>IF(I184="Sim",H184*$B$4,0)</x:f>
        <x:v>0</x:v>
      </x:c>
      <x:c r="K184" s="36" t="str">
        <x:f>IF(H184="","",IF(C184="Receita",H184-J184,-H184-J184))</x:f>
      </x:c>
    </x:row>
    <x:row r="185">
      <x:c r="A185" s="27"/>
      <x:c r="B185" s="30" t="str">
        <x:f>IF(A185="","",DATE(YEAR(A185),MONTH(A185),1))</x:f>
      </x:c>
      <x:c r="C185" s="24"/>
      <x:c r="D185" s="24"/>
      <x:c r="E185" s="24"/>
      <x:c r="F185" s="33"/>
      <x:c r="G185" s="36"/>
      <x:c r="H185" s="36" t="str">
        <x:f>IF(OR(F185="",G185=""),"",F185*G185)</x:f>
      </x:c>
      <x:c r="I185" s="24"/>
      <x:c r="J185" s="36" t="n">
        <x:f>IF(I185="Sim",H185*$B$4,0)</x:f>
        <x:v>0</x:v>
      </x:c>
      <x:c r="K185" s="36" t="str">
        <x:f>IF(H185="","",IF(C185="Receita",H185-J185,-H185-J185))</x:f>
      </x:c>
    </x:row>
    <x:row r="186">
      <x:c r="A186" s="27"/>
      <x:c r="B186" s="30" t="str">
        <x:f>IF(A186="","",DATE(YEAR(A186),MONTH(A186),1))</x:f>
      </x:c>
      <x:c r="C186" s="24"/>
      <x:c r="D186" s="24"/>
      <x:c r="E186" s="24"/>
      <x:c r="F186" s="33"/>
      <x:c r="G186" s="36"/>
      <x:c r="H186" s="36" t="str">
        <x:f>IF(OR(F186="",G186=""),"",F186*G186)</x:f>
      </x:c>
      <x:c r="I186" s="24"/>
      <x:c r="J186" s="36" t="n">
        <x:f>IF(I186="Sim",H186*$B$4,0)</x:f>
        <x:v>0</x:v>
      </x:c>
      <x:c r="K186" s="36" t="str">
        <x:f>IF(H186="","",IF(C186="Receita",H186-J186,-H186-J186))</x:f>
      </x:c>
    </x:row>
    <x:row r="187">
      <x:c r="A187" s="27"/>
      <x:c r="B187" s="30" t="str">
        <x:f>IF(A187="","",DATE(YEAR(A187),MONTH(A187),1))</x:f>
      </x:c>
      <x:c r="C187" s="24"/>
      <x:c r="D187" s="24"/>
      <x:c r="E187" s="24"/>
      <x:c r="F187" s="33"/>
      <x:c r="G187" s="36"/>
      <x:c r="H187" s="36" t="str">
        <x:f>IF(OR(F187="",G187=""),"",F187*G187)</x:f>
      </x:c>
      <x:c r="I187" s="24"/>
      <x:c r="J187" s="36" t="n">
        <x:f>IF(I187="Sim",H187*$B$4,0)</x:f>
        <x:v>0</x:v>
      </x:c>
      <x:c r="K187" s="36" t="str">
        <x:f>IF(H187="","",IF(C187="Receita",H187-J187,-H187-J187))</x:f>
      </x:c>
    </x:row>
    <x:row r="188">
      <x:c r="A188" s="27"/>
      <x:c r="B188" s="30" t="str">
        <x:f>IF(A188="","",DATE(YEAR(A188),MONTH(A188),1))</x:f>
      </x:c>
      <x:c r="C188" s="24"/>
      <x:c r="D188" s="24"/>
      <x:c r="E188" s="24"/>
      <x:c r="F188" s="33"/>
      <x:c r="G188" s="36"/>
      <x:c r="H188" s="36" t="str">
        <x:f>IF(OR(F188="",G188=""),"",F188*G188)</x:f>
      </x:c>
      <x:c r="I188" s="24"/>
      <x:c r="J188" s="36" t="n">
        <x:f>IF(I188="Sim",H188*$B$4,0)</x:f>
        <x:v>0</x:v>
      </x:c>
      <x:c r="K188" s="36" t="str">
        <x:f>IF(H188="","",IF(C188="Receita",H188-J188,-H188-J188))</x:f>
      </x:c>
    </x:row>
    <x:row r="189">
      <x:c r="A189" s="27"/>
      <x:c r="B189" s="30" t="str">
        <x:f>IF(A189="","",DATE(YEAR(A189),MONTH(A189),1))</x:f>
      </x:c>
      <x:c r="C189" s="24"/>
      <x:c r="D189" s="24"/>
      <x:c r="E189" s="24"/>
      <x:c r="F189" s="33"/>
      <x:c r="G189" s="36"/>
      <x:c r="H189" s="36" t="str">
        <x:f>IF(OR(F189="",G189=""),"",F189*G189)</x:f>
      </x:c>
      <x:c r="I189" s="24"/>
      <x:c r="J189" s="36" t="n">
        <x:f>IF(I189="Sim",H189*$B$4,0)</x:f>
        <x:v>0</x:v>
      </x:c>
      <x:c r="K189" s="36" t="str">
        <x:f>IF(H189="","",IF(C189="Receita",H189-J189,-H189-J189))</x:f>
      </x:c>
    </x:row>
    <x:row r="190">
      <x:c r="A190" s="27"/>
      <x:c r="B190" s="30" t="str">
        <x:f>IF(A190="","",DATE(YEAR(A190),MONTH(A190),1))</x:f>
      </x:c>
      <x:c r="C190" s="24"/>
      <x:c r="D190" s="24"/>
      <x:c r="E190" s="24"/>
      <x:c r="F190" s="33"/>
      <x:c r="G190" s="36"/>
      <x:c r="H190" s="36" t="str">
        <x:f>IF(OR(F190="",G190=""),"",F190*G190)</x:f>
      </x:c>
      <x:c r="I190" s="24"/>
      <x:c r="J190" s="36" t="n">
        <x:f>IF(I190="Sim",H190*$B$4,0)</x:f>
        <x:v>0</x:v>
      </x:c>
      <x:c r="K190" s="36" t="str">
        <x:f>IF(H190="","",IF(C190="Receita",H190-J190,-H190-J190))</x:f>
      </x:c>
    </x:row>
    <x:row r="191">
      <x:c r="A191" s="27"/>
      <x:c r="B191" s="30" t="str">
        <x:f>IF(A191="","",DATE(YEAR(A191),MONTH(A191),1))</x:f>
      </x:c>
      <x:c r="C191" s="24"/>
      <x:c r="D191" s="24"/>
      <x:c r="E191" s="24"/>
      <x:c r="F191" s="33"/>
      <x:c r="G191" s="36"/>
      <x:c r="H191" s="36" t="str">
        <x:f>IF(OR(F191="",G191=""),"",F191*G191)</x:f>
      </x:c>
      <x:c r="I191" s="24"/>
      <x:c r="J191" s="36" t="n">
        <x:f>IF(I191="Sim",H191*$B$4,0)</x:f>
        <x:v>0</x:v>
      </x:c>
      <x:c r="K191" s="36" t="str">
        <x:f>IF(H191="","",IF(C191="Receita",H191-J191,-H191-J191))</x:f>
      </x:c>
    </x:row>
    <x:row r="192">
      <x:c r="A192" s="27"/>
      <x:c r="B192" s="30" t="str">
        <x:f>IF(A192="","",DATE(YEAR(A192),MONTH(A192),1))</x:f>
      </x:c>
      <x:c r="C192" s="24"/>
      <x:c r="D192" s="24"/>
      <x:c r="E192" s="24"/>
      <x:c r="F192" s="33"/>
      <x:c r="G192" s="36"/>
      <x:c r="H192" s="36" t="str">
        <x:f>IF(OR(F192="",G192=""),"",F192*G192)</x:f>
      </x:c>
      <x:c r="I192" s="24"/>
      <x:c r="J192" s="36" t="n">
        <x:f>IF(I192="Sim",H192*$B$4,0)</x:f>
        <x:v>0</x:v>
      </x:c>
      <x:c r="K192" s="36" t="str">
        <x:f>IF(H192="","",IF(C192="Receita",H192-J192,-H192-J192))</x:f>
      </x:c>
    </x:row>
    <x:row r="193">
      <x:c r="A193" s="27"/>
      <x:c r="B193" s="30" t="str">
        <x:f>IF(A193="","",DATE(YEAR(A193),MONTH(A193),1))</x:f>
      </x:c>
      <x:c r="C193" s="24"/>
      <x:c r="D193" s="24"/>
      <x:c r="E193" s="24"/>
      <x:c r="F193" s="33"/>
      <x:c r="G193" s="36"/>
      <x:c r="H193" s="36" t="str">
        <x:f>IF(OR(F193="",G193=""),"",F193*G193)</x:f>
      </x:c>
      <x:c r="I193" s="24"/>
      <x:c r="J193" s="36" t="n">
        <x:f>IF(I193="Sim",H193*$B$4,0)</x:f>
        <x:v>0</x:v>
      </x:c>
      <x:c r="K193" s="36" t="str">
        <x:f>IF(H193="","",IF(C193="Receita",H193-J193,-H193-J193))</x:f>
      </x:c>
    </x:row>
    <x:row r="194">
      <x:c r="A194" s="27"/>
      <x:c r="B194" s="30" t="str">
        <x:f>IF(A194="","",DATE(YEAR(A194),MONTH(A194),1))</x:f>
      </x:c>
      <x:c r="C194" s="24"/>
      <x:c r="D194" s="24"/>
      <x:c r="E194" s="24"/>
      <x:c r="F194" s="33"/>
      <x:c r="G194" s="36"/>
      <x:c r="H194" s="36" t="str">
        <x:f>IF(OR(F194="",G194=""),"",F194*G194)</x:f>
      </x:c>
      <x:c r="I194" s="24"/>
      <x:c r="J194" s="36" t="n">
        <x:f>IF(I194="Sim",H194*$B$4,0)</x:f>
        <x:v>0</x:v>
      </x:c>
      <x:c r="K194" s="36" t="str">
        <x:f>IF(H194="","",IF(C194="Receita",H194-J194,-H194-J194))</x:f>
      </x:c>
    </x:row>
    <x:row r="195">
      <x:c r="A195" s="27"/>
      <x:c r="B195" s="30" t="str">
        <x:f>IF(A195="","",DATE(YEAR(A195),MONTH(A195),1))</x:f>
      </x:c>
      <x:c r="C195" s="24"/>
      <x:c r="D195" s="24"/>
      <x:c r="E195" s="24"/>
      <x:c r="F195" s="33"/>
      <x:c r="G195" s="36"/>
      <x:c r="H195" s="36" t="str">
        <x:f>IF(OR(F195="",G195=""),"",F195*G195)</x:f>
      </x:c>
      <x:c r="I195" s="24"/>
      <x:c r="J195" s="36" t="n">
        <x:f>IF(I195="Sim",H195*$B$4,0)</x:f>
        <x:v>0</x:v>
      </x:c>
      <x:c r="K195" s="36" t="str">
        <x:f>IF(H195="","",IF(C195="Receita",H195-J195,-H195-J195))</x:f>
      </x:c>
    </x:row>
    <x:row r="196">
      <x:c r="A196" s="27"/>
      <x:c r="B196" s="30" t="str">
        <x:f>IF(A196="","",DATE(YEAR(A196),MONTH(A196),1))</x:f>
      </x:c>
      <x:c r="C196" s="24"/>
      <x:c r="D196" s="24"/>
      <x:c r="E196" s="24"/>
      <x:c r="F196" s="33"/>
      <x:c r="G196" s="36"/>
      <x:c r="H196" s="36" t="str">
        <x:f>IF(OR(F196="",G196=""),"",F196*G196)</x:f>
      </x:c>
      <x:c r="I196" s="24"/>
      <x:c r="J196" s="36" t="n">
        <x:f>IF(I196="Sim",H196*$B$4,0)</x:f>
        <x:v>0</x:v>
      </x:c>
      <x:c r="K196" s="36" t="str">
        <x:f>IF(H196="","",IF(C196="Receita",H196-J196,-H196-J196))</x:f>
      </x:c>
    </x:row>
    <x:row r="197">
      <x:c r="A197" s="27"/>
      <x:c r="B197" s="30" t="str">
        <x:f>IF(A197="","",DATE(YEAR(A197),MONTH(A197),1))</x:f>
      </x:c>
      <x:c r="C197" s="24"/>
      <x:c r="D197" s="24"/>
      <x:c r="E197" s="24"/>
      <x:c r="F197" s="33"/>
      <x:c r="G197" s="36"/>
      <x:c r="H197" s="36" t="str">
        <x:f>IF(OR(F197="",G197=""),"",F197*G197)</x:f>
      </x:c>
      <x:c r="I197" s="24"/>
      <x:c r="J197" s="36" t="n">
        <x:f>IF(I197="Sim",H197*$B$4,0)</x:f>
        <x:v>0</x:v>
      </x:c>
      <x:c r="K197" s="36" t="str">
        <x:f>IF(H197="","",IF(C197="Receita",H197-J197,-H197-J197))</x:f>
      </x:c>
    </x:row>
    <x:row r="198">
      <x:c r="A198" s="27"/>
      <x:c r="B198" s="30" t="str">
        <x:f>IF(A198="","",DATE(YEAR(A198),MONTH(A198),1))</x:f>
      </x:c>
      <x:c r="C198" s="24"/>
      <x:c r="D198" s="24"/>
      <x:c r="E198" s="24"/>
      <x:c r="F198" s="33"/>
      <x:c r="G198" s="36"/>
      <x:c r="H198" s="36" t="str">
        <x:f>IF(OR(F198="",G198=""),"",F198*G198)</x:f>
      </x:c>
      <x:c r="I198" s="24"/>
      <x:c r="J198" s="36" t="n">
        <x:f>IF(I198="Sim",H198*$B$4,0)</x:f>
        <x:v>0</x:v>
      </x:c>
      <x:c r="K198" s="36" t="str">
        <x:f>IF(H198="","",IF(C198="Receita",H198-J198,-H198-J198))</x:f>
      </x:c>
    </x:row>
    <x:row r="199">
      <x:c r="A199" s="27"/>
      <x:c r="B199" s="30" t="str">
        <x:f>IF(A199="","",DATE(YEAR(A199),MONTH(A199),1))</x:f>
      </x:c>
      <x:c r="C199" s="24"/>
      <x:c r="D199" s="24"/>
      <x:c r="E199" s="24"/>
      <x:c r="F199" s="33"/>
      <x:c r="G199" s="36"/>
      <x:c r="H199" s="36" t="str">
        <x:f>IF(OR(F199="",G199=""),"",F199*G199)</x:f>
      </x:c>
      <x:c r="I199" s="24"/>
      <x:c r="J199" s="36" t="n">
        <x:f>IF(I199="Sim",H199*$B$4,0)</x:f>
        <x:v>0</x:v>
      </x:c>
      <x:c r="K199" s="36" t="str">
        <x:f>IF(H199="","",IF(C199="Receita",H199-J199,-H199-J199))</x:f>
      </x:c>
    </x:row>
    <x:row r="200">
      <x:c r="A200" s="27"/>
      <x:c r="B200" s="30" t="str">
        <x:f>IF(A200="","",DATE(YEAR(A200),MONTH(A200),1))</x:f>
      </x:c>
      <x:c r="C200" s="24"/>
      <x:c r="D200" s="24"/>
      <x:c r="E200" s="24"/>
      <x:c r="F200" s="33"/>
      <x:c r="G200" s="36"/>
      <x:c r="H200" s="36" t="str">
        <x:f>IF(OR(F200="",G200=""),"",F200*G200)</x:f>
      </x:c>
      <x:c r="I200" s="24"/>
      <x:c r="J200" s="36" t="n">
        <x:f>IF(I200="Sim",H200*$B$4,0)</x:f>
        <x:v>0</x:v>
      </x:c>
      <x:c r="K200" s="36" t="str">
        <x:f>IF(H200="","",IF(C200="Receita",H200-J200,-H200-J200))</x:f>
      </x:c>
    </x:row>
    <x:row r="201">
      <x:c r="A201" s="27"/>
      <x:c r="B201" s="30" t="str">
        <x:f>IF(A201="","",DATE(YEAR(A201),MONTH(A201),1))</x:f>
      </x:c>
      <x:c r="C201" s="24"/>
      <x:c r="D201" s="24"/>
      <x:c r="E201" s="24"/>
      <x:c r="F201" s="33"/>
      <x:c r="G201" s="36"/>
      <x:c r="H201" s="36" t="str">
        <x:f>IF(OR(F201="",G201=""),"",F201*G201)</x:f>
      </x:c>
      <x:c r="I201" s="24"/>
      <x:c r="J201" s="36" t="n">
        <x:f>IF(I201="Sim",H201*$B$4,0)</x:f>
        <x:v>0</x:v>
      </x:c>
      <x:c r="K201" s="36" t="str">
        <x:f>IF(H201="","",IF(C201="Receita",H201-J201,-H201-J201))</x:f>
      </x:c>
    </x:row>
    <x:row r="202">
      <x:c r="A202" s="27"/>
      <x:c r="B202" s="30" t="str">
        <x:f>IF(A202="","",DATE(YEAR(A202),MONTH(A202),1))</x:f>
      </x:c>
      <x:c r="C202" s="24"/>
      <x:c r="D202" s="24"/>
      <x:c r="E202" s="24"/>
      <x:c r="F202" s="33"/>
      <x:c r="G202" s="36"/>
      <x:c r="H202" s="36" t="str">
        <x:f>IF(OR(F202="",G202=""),"",F202*G202)</x:f>
      </x:c>
      <x:c r="I202" s="24"/>
      <x:c r="J202" s="36" t="n">
        <x:f>IF(I202="Sim",H202*$B$4,0)</x:f>
        <x:v>0</x:v>
      </x:c>
      <x:c r="K202" s="36" t="str">
        <x:f>IF(H202="","",IF(C202="Receita",H202-J202,-H202-J202))</x:f>
      </x:c>
    </x:row>
    <x:row r="203">
      <x:c r="A203" s="27"/>
      <x:c r="B203" s="30" t="str">
        <x:f>IF(A203="","",DATE(YEAR(A203),MONTH(A203),1))</x:f>
      </x:c>
      <x:c r="C203" s="24"/>
      <x:c r="D203" s="24"/>
      <x:c r="E203" s="24"/>
      <x:c r="F203" s="33"/>
      <x:c r="G203" s="36"/>
      <x:c r="H203" s="36" t="str">
        <x:f>IF(OR(F203="",G203=""),"",F203*G203)</x:f>
      </x:c>
      <x:c r="I203" s="24"/>
      <x:c r="J203" s="36" t="n">
        <x:f>IF(I203="Sim",H203*$B$4,0)</x:f>
        <x:v>0</x:v>
      </x:c>
      <x:c r="K203" s="36" t="str">
        <x:f>IF(H203="","",IF(C203="Receita",H203-J203,-H203-J203))</x:f>
      </x:c>
    </x:row>
    <x:row r="204">
      <x:c r="A204" s="27"/>
      <x:c r="B204" s="30" t="str">
        <x:f>IF(A204="","",DATE(YEAR(A204),MONTH(A204),1))</x:f>
      </x:c>
      <x:c r="C204" s="24"/>
      <x:c r="D204" s="24"/>
      <x:c r="E204" s="24"/>
      <x:c r="F204" s="33"/>
      <x:c r="G204" s="36"/>
      <x:c r="H204" s="36" t="str">
        <x:f>IF(OR(F204="",G204=""),"",F204*G204)</x:f>
      </x:c>
      <x:c r="I204" s="24"/>
      <x:c r="J204" s="36" t="n">
        <x:f>IF(I204="Sim",H204*$B$4,0)</x:f>
        <x:v>0</x:v>
      </x:c>
      <x:c r="K204" s="36" t="str">
        <x:f>IF(H204="","",IF(C204="Receita",H204-J204,-H204-J204))</x:f>
      </x:c>
    </x:row>
    <x:row r="205">
      <x:c r="A205" s="27"/>
      <x:c r="B205" s="30" t="str">
        <x:f>IF(A205="","",DATE(YEAR(A205),MONTH(A205),1))</x:f>
      </x:c>
      <x:c r="C205" s="24"/>
      <x:c r="D205" s="24"/>
      <x:c r="E205" s="24"/>
      <x:c r="F205" s="33"/>
      <x:c r="G205" s="36"/>
      <x:c r="H205" s="36" t="str">
        <x:f>IF(OR(F205="",G205=""),"",F205*G205)</x:f>
      </x:c>
      <x:c r="I205" s="24"/>
      <x:c r="J205" s="36" t="n">
        <x:f>IF(I205="Sim",H205*$B$4,0)</x:f>
        <x:v>0</x:v>
      </x:c>
      <x:c r="K205" s="36" t="str">
        <x:f>IF(H205="","",IF(C205="Receita",H205-J205,-H205-J205))</x:f>
      </x:c>
    </x:row>
    <x:row r="206">
      <x:c r="A206" s="27"/>
      <x:c r="B206" s="30" t="str">
        <x:f>IF(A206="","",DATE(YEAR(A206),MONTH(A206),1))</x:f>
      </x:c>
      <x:c r="C206" s="24"/>
      <x:c r="D206" s="24"/>
      <x:c r="E206" s="24"/>
      <x:c r="F206" s="33"/>
      <x:c r="G206" s="36"/>
      <x:c r="H206" s="36" t="str">
        <x:f>IF(OR(F206="",G206=""),"",F206*G206)</x:f>
      </x:c>
      <x:c r="I206" s="24"/>
      <x:c r="J206" s="36" t="n">
        <x:f>IF(I206="Sim",H206*$B$4,0)</x:f>
        <x:v>0</x:v>
      </x:c>
      <x:c r="K206" s="36" t="str">
        <x:f>IF(H206="","",IF(C206="Receita",H206-J206,-H206-J206))</x:f>
      </x:c>
    </x:row>
    <x:row r="207">
      <x:c r="A207" s="27"/>
      <x:c r="B207" s="30" t="str">
        <x:f>IF(A207="","",DATE(YEAR(A207),MONTH(A207),1))</x:f>
      </x:c>
      <x:c r="C207" s="24"/>
      <x:c r="D207" s="24"/>
      <x:c r="E207" s="24"/>
      <x:c r="F207" s="33"/>
      <x:c r="G207" s="36"/>
      <x:c r="H207" s="36" t="str">
        <x:f>IF(OR(F207="",G207=""),"",F207*G207)</x:f>
      </x:c>
      <x:c r="I207" s="24"/>
      <x:c r="J207" s="36" t="n">
        <x:f>IF(I207="Sim",H207*$B$4,0)</x:f>
        <x:v>0</x:v>
      </x:c>
      <x:c r="K207" s="36" t="str">
        <x:f>IF(H207="","",IF(C207="Receita",H207-J207,-H207-J207))</x:f>
      </x:c>
    </x:row>
    <x:row r="208">
      <x:c r="A208" s="28"/>
      <x:c r="B208" s="31" t="str">
        <x:f>IF(A208="","",DATE(YEAR(A208),MONTH(A208),1))</x:f>
      </x:c>
      <x:c r="C208" s="25"/>
      <x:c r="D208" s="25"/>
      <x:c r="E208" s="25"/>
      <x:c r="F208" s="34"/>
      <x:c r="G208" s="37"/>
      <x:c r="H208" s="37" t="str">
        <x:f>IF(OR(F208="",G208=""),"",F208*G208)</x:f>
      </x:c>
      <x:c r="I208" s="25"/>
      <x:c r="J208" s="37" t="n">
        <x:f>IF(I208="Sim",H208*$B$4,0)</x:f>
        <x:v>0</x:v>
      </x:c>
      <x:c r="K208" s="37" t="str">
        <x:f>IF(H208="","",IF(C208="Receita",H208-J208,-H208-J208))</x:f>
      </x:c>
    </x:row>
  </x:sheetData>
  <x:mergeCells>
    <x:mergeCell ref="A1:K1"/>
    <x:mergeCell ref="A2:K2"/>
  </x:mergeCells>
  <x:dataValidations count="2">
    <x:dataValidation type="list" sqref="C9:C208">
      <x:formula1>"Receita,Custo"</x:formula1>
    </x:dataValidation>
    <x:dataValidation type="list" sqref="I9:I208">
      <x:formula1>"Sim,Não"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</x:cols>
  <x:sheetData>
    <x:row r="1">
      <x:c r="A1" s="3" t="str">
        <x:v>Resumo mensal automático</x:v>
      </x:c>
      <x:c r="B1" s="3" t="str">
        <x:v>Resumo mensal automático</x:v>
      </x:c>
      <x:c r="C1" s="3" t="str">
        <x:v>Resumo mensal automático</x:v>
      </x:c>
      <x:c r="D1" s="3" t="str">
        <x:v>Resumo mensal automático</x:v>
      </x:c>
      <x:c r="E1" s="3" t="str">
        <x:v>Resumo mensal automático</x:v>
      </x:c>
      <x:c r="F1" s="3" t="str">
        <x:v>Resumo mensal automático</x:v>
      </x:c>
      <x:c r="G1" s="3" t="str">
        <x:v>Resumo mensal automático</x:v>
      </x:c>
      <x:c r="H1" s="3" t="str">
        <x:v>Resumo mensal automático</x:v>
      </x:c>
    </x:row>
    <x:row r="2">
      <x:c r="A2" s="5" t="str">
        <x:v>Consolida receita, custos, taxa da maquininha e resultado líquido a partir da aba Lançamentos.</x:v>
      </x:c>
      <x:c r="B2" s="5" t="str">
        <x:v>Consolida receita, custos, taxa da maquininha e resultado líquido a partir da aba Lançamentos.</x:v>
      </x:c>
      <x:c r="C2" s="5" t="str">
        <x:v>Consolida receita, custos, taxa da maquininha e resultado líquido a partir da aba Lançamentos.</x:v>
      </x:c>
      <x:c r="D2" s="5" t="str">
        <x:v>Consolida receita, custos, taxa da maquininha e resultado líquido a partir da aba Lançamentos.</x:v>
      </x:c>
      <x:c r="E2" s="5" t="str">
        <x:v>Consolida receita, custos, taxa da maquininha e resultado líquido a partir da aba Lançamentos.</x:v>
      </x:c>
      <x:c r="F2" s="5" t="str">
        <x:v>Consolida receita, custos, taxa da maquininha e resultado líquido a partir da aba Lançamentos.</x:v>
      </x:c>
      <x:c r="G2" s="5" t="str">
        <x:v>Consolida receita, custos, taxa da maquininha e resultado líquido a partir da aba Lançamentos.</x:v>
      </x:c>
      <x:c r="H2" s="5" t="str">
        <x:v>Consolida receita, custos, taxa da maquininha e resultado líquido a partir da aba Lançamentos.</x:v>
      </x:c>
    </x:row>
    <x:row r="4">
      <x:c r="A4" s="17" t="str">
        <x:v>Mês</x:v>
      </x:c>
      <x:c r="B4" s="18" t="str">
        <x:v>Receita bruta</x:v>
      </x:c>
      <x:c r="C4" s="18" t="str">
        <x:v>Taxa maquininha</x:v>
      </x:c>
      <x:c r="D4" s="18" t="str">
        <x:v>Receita líquida</x:v>
      </x:c>
      <x:c r="E4" s="18" t="str">
        <x:v>Custos</x:v>
      </x:c>
      <x:c r="F4" s="18" t="str">
        <x:v>Resultado líquido</x:v>
      </x:c>
      <x:c r="G4" s="18" t="str">
        <x:v>Margem</x:v>
      </x:c>
      <x:c r="H4" s="19" t="str">
        <x:v>Observação</x:v>
      </x:c>
    </x:row>
    <x:row r="5">
      <x:c r="A5" s="41" t="n">
        <x:f>DATE('Lançamentos'!$B$5,1,1)</x:f>
        <x:v>46023</x:v>
      </x:c>
      <x:c r="B5" s="57" t="n">
        <x:f>SUMIFS('Lançamentos'!$H$9:$H$208,'Lançamentos'!$B$9:$B$208,A5,'Lançamentos'!$C$9:$C$208,"Receita")</x:f>
        <x:v>15000</x:v>
      </x:c>
      <x:c r="C5" s="63" t="n">
        <x:f>SUMIFS('Lançamentos'!$J$9:$J$208,'Lançamentos'!$B$9:$B$208,A5,'Lançamentos'!$C$9:$C$208,"Receita")</x:f>
        <x:v>0</x:v>
      </x:c>
      <x:c r="D5" s="57" t="n">
        <x:f>B5-C5</x:f>
        <x:v>15000</x:v>
      </x:c>
      <x:c r="E5" s="60" t="n">
        <x:f>SUMIFS('Lançamentos'!$H$9:$H$208,'Lançamentos'!$B$9:$B$208,A5,'Lançamentos'!$C$9:$C$208,"Custo")+SUMIFS('Lançamentos'!$J$9:$J$208,'Lançamentos'!$B$9:$B$208,A5,'Lançamentos'!$C$9:$C$208,"Custo")</x:f>
        <x:v>330</x:v>
      </x:c>
      <x:c r="F5" s="42" t="n">
        <x:f>D5-E5</x:f>
        <x:v>14670</x:v>
      </x:c>
      <x:c r="G5" s="43" t="n">
        <x:f>IFERROR(F5/B5,0)</x:f>
        <x:v>0.978</x:v>
      </x:c>
      <x:c r="H5" s="20" t="str">
        <x:f>IF(B5+E5=0,"Sem lançamentos","OK")</x:f>
        <x:v>OK</x:v>
      </x:c>
    </x:row>
    <x:row r="6">
      <x:c r="A6" s="44" t="n">
        <x:f>DATE('Lançamentos'!$B$5,2,1)</x:f>
        <x:v>46054</x:v>
      </x:c>
      <x:c r="B6" s="58" t="n">
        <x:f>SUMIFS('Lançamentos'!$H$9:$H$208,'Lançamentos'!$B$9:$B$208,A6,'Lançamentos'!$C$9:$C$208,"Receita")</x:f>
        <x:v>3000</x:v>
      </x:c>
      <x:c r="C6" s="64" t="n">
        <x:f>SUMIFS('Lançamentos'!$J$9:$J$208,'Lançamentos'!$B$9:$B$208,A6,'Lançamentos'!$C$9:$C$208,"Receita")</x:f>
        <x:v>149.39999999999998</x:v>
      </x:c>
      <x:c r="D6" s="58" t="n">
        <x:f>B6-C6</x:f>
        <x:v>2850.6</x:v>
      </x:c>
      <x:c r="E6" s="61" t="n">
        <x:f>SUMIFS('Lançamentos'!$H$9:$H$208,'Lançamentos'!$B$9:$B$208,A6,'Lançamentos'!$C$9:$C$208,"Custo")+SUMIFS('Lançamentos'!$J$9:$J$208,'Lançamentos'!$B$9:$B$208,A6,'Lançamentos'!$C$9:$C$208,"Custo")</x:f>
        <x:v>50</x:v>
      </x:c>
      <x:c r="F6" s="45" t="n">
        <x:f>D6-E6</x:f>
        <x:v>2800.6</x:v>
      </x:c>
      <x:c r="G6" s="46" t="n">
        <x:f>IFERROR(F6/B6,0)</x:f>
        <x:v>0.9335333333333333</x:v>
      </x:c>
      <x:c r="H6" s="21" t="str">
        <x:f>IF(B6+E6=0,"Sem lançamentos","OK")</x:f>
        <x:v>OK</x:v>
      </x:c>
    </x:row>
    <x:row r="7">
      <x:c r="A7" s="44" t="n">
        <x:f>DATE('Lançamentos'!$B$5,3,1)</x:f>
        <x:v>46082</x:v>
      </x:c>
      <x:c r="B7" s="58" t="n">
        <x:f>SUMIFS('Lançamentos'!$H$9:$H$208,'Lançamentos'!$B$9:$B$208,A7,'Lançamentos'!$C$9:$C$208,"Receita")</x:f>
        <x:v>0</x:v>
      </x:c>
      <x:c r="C7" s="64" t="n">
        <x:f>SUMIFS('Lançamentos'!$J$9:$J$208,'Lançamentos'!$B$9:$B$208,A7,'Lançamentos'!$C$9:$C$208,"Receita")</x:f>
        <x:v>0</x:v>
      </x:c>
      <x:c r="D7" s="58" t="n">
        <x:f>B7-C7</x:f>
        <x:v>0</x:v>
      </x:c>
      <x:c r="E7" s="61" t="n">
        <x:f>SUMIFS('Lançamentos'!$H$9:$H$208,'Lançamentos'!$B$9:$B$208,A7,'Lançamentos'!$C$9:$C$208,"Custo")+SUMIFS('Lançamentos'!$J$9:$J$208,'Lançamentos'!$B$9:$B$208,A7,'Lançamentos'!$C$9:$C$208,"Custo")</x:f>
        <x:v>0</x:v>
      </x:c>
      <x:c r="F7" s="45" t="n">
        <x:f>D7-E7</x:f>
        <x:v>0</x:v>
      </x:c>
      <x:c r="G7" s="46" t="n">
        <x:f>IFERROR(F7/B7,0)</x:f>
        <x:v>0</x:v>
      </x:c>
      <x:c r="H7" s="21" t="str">
        <x:f>IF(B7+E7=0,"Sem lançamentos","OK")</x:f>
        <x:v>Sem lançamentos</x:v>
      </x:c>
    </x:row>
    <x:row r="8">
      <x:c r="A8" s="44" t="n">
        <x:f>DATE('Lançamentos'!$B$5,4,1)</x:f>
        <x:v>46113</x:v>
      </x:c>
      <x:c r="B8" s="58" t="n">
        <x:f>SUMIFS('Lançamentos'!$H$9:$H$208,'Lançamentos'!$B$9:$B$208,A8,'Lançamentos'!$C$9:$C$208,"Receita")</x:f>
        <x:v>0</x:v>
      </x:c>
      <x:c r="C8" s="64" t="n">
        <x:f>SUMIFS('Lançamentos'!$J$9:$J$208,'Lançamentos'!$B$9:$B$208,A8,'Lançamentos'!$C$9:$C$208,"Receita")</x:f>
        <x:v>0</x:v>
      </x:c>
      <x:c r="D8" s="58" t="n">
        <x:f>B8-C8</x:f>
        <x:v>0</x:v>
      </x:c>
      <x:c r="E8" s="61" t="n">
        <x:f>SUMIFS('Lançamentos'!$H$9:$H$208,'Lançamentos'!$B$9:$B$208,A8,'Lançamentos'!$C$9:$C$208,"Custo")+SUMIFS('Lançamentos'!$J$9:$J$208,'Lançamentos'!$B$9:$B$208,A8,'Lançamentos'!$C$9:$C$208,"Custo")</x:f>
        <x:v>0</x:v>
      </x:c>
      <x:c r="F8" s="45" t="n">
        <x:f>D8-E8</x:f>
        <x:v>0</x:v>
      </x:c>
      <x:c r="G8" s="46" t="n">
        <x:f>IFERROR(F8/B8,0)</x:f>
        <x:v>0</x:v>
      </x:c>
      <x:c r="H8" s="21" t="str">
        <x:f>IF(B8+E8=0,"Sem lançamentos","OK")</x:f>
        <x:v>Sem lançamentos</x:v>
      </x:c>
    </x:row>
    <x:row r="9">
      <x:c r="A9" s="44" t="n">
        <x:f>DATE('Lançamentos'!$B$5,5,1)</x:f>
        <x:v>46143</x:v>
      </x:c>
      <x:c r="B9" s="58" t="n">
        <x:f>SUMIFS('Lançamentos'!$H$9:$H$208,'Lançamentos'!$B$9:$B$208,A9,'Lançamentos'!$C$9:$C$208,"Receita")</x:f>
        <x:v>0</x:v>
      </x:c>
      <x:c r="C9" s="64" t="n">
        <x:f>SUMIFS('Lançamentos'!$J$9:$J$208,'Lançamentos'!$B$9:$B$208,A9,'Lançamentos'!$C$9:$C$208,"Receita")</x:f>
        <x:v>0</x:v>
      </x:c>
      <x:c r="D9" s="58" t="n">
        <x:f>B9-C9</x:f>
        <x:v>0</x:v>
      </x:c>
      <x:c r="E9" s="61" t="n">
        <x:f>SUMIFS('Lançamentos'!$H$9:$H$208,'Lançamentos'!$B$9:$B$208,A9,'Lançamentos'!$C$9:$C$208,"Custo")+SUMIFS('Lançamentos'!$J$9:$J$208,'Lançamentos'!$B$9:$B$208,A9,'Lançamentos'!$C$9:$C$208,"Custo")</x:f>
        <x:v>0</x:v>
      </x:c>
      <x:c r="F9" s="45" t="n">
        <x:f>D9-E9</x:f>
        <x:v>0</x:v>
      </x:c>
      <x:c r="G9" s="46" t="n">
        <x:f>IFERROR(F9/B9,0)</x:f>
        <x:v>0</x:v>
      </x:c>
      <x:c r="H9" s="21" t="str">
        <x:f>IF(B9+E9=0,"Sem lançamentos","OK")</x:f>
        <x:v>Sem lançamentos</x:v>
      </x:c>
    </x:row>
    <x:row r="10">
      <x:c r="A10" s="44" t="n">
        <x:f>DATE('Lançamentos'!$B$5,6,1)</x:f>
        <x:v>46174</x:v>
      </x:c>
      <x:c r="B10" s="58" t="n">
        <x:f>SUMIFS('Lançamentos'!$H$9:$H$208,'Lançamentos'!$B$9:$B$208,A10,'Lançamentos'!$C$9:$C$208,"Receita")</x:f>
        <x:v>0</x:v>
      </x:c>
      <x:c r="C10" s="64" t="n">
        <x:f>SUMIFS('Lançamentos'!$J$9:$J$208,'Lançamentos'!$B$9:$B$208,A10,'Lançamentos'!$C$9:$C$208,"Receita")</x:f>
        <x:v>0</x:v>
      </x:c>
      <x:c r="D10" s="58" t="n">
        <x:f>B10-C10</x:f>
        <x:v>0</x:v>
      </x:c>
      <x:c r="E10" s="61" t="n">
        <x:f>SUMIFS('Lançamentos'!$H$9:$H$208,'Lançamentos'!$B$9:$B$208,A10,'Lançamentos'!$C$9:$C$208,"Custo")+SUMIFS('Lançamentos'!$J$9:$J$208,'Lançamentos'!$B$9:$B$208,A10,'Lançamentos'!$C$9:$C$208,"Custo")</x:f>
        <x:v>0</x:v>
      </x:c>
      <x:c r="F10" s="45" t="n">
        <x:f>D10-E10</x:f>
        <x:v>0</x:v>
      </x:c>
      <x:c r="G10" s="46" t="n">
        <x:f>IFERROR(F10/B10,0)</x:f>
        <x:v>0</x:v>
      </x:c>
      <x:c r="H10" s="21" t="str">
        <x:f>IF(B10+E10=0,"Sem lançamentos","OK")</x:f>
        <x:v>Sem lançamentos</x:v>
      </x:c>
    </x:row>
    <x:row r="11">
      <x:c r="A11" s="44" t="n">
        <x:f>DATE('Lançamentos'!$B$5,7,1)</x:f>
        <x:v>46204</x:v>
      </x:c>
      <x:c r="B11" s="58" t="n">
        <x:f>SUMIFS('Lançamentos'!$H$9:$H$208,'Lançamentos'!$B$9:$B$208,A11,'Lançamentos'!$C$9:$C$208,"Receita")</x:f>
        <x:v>0</x:v>
      </x:c>
      <x:c r="C11" s="64" t="n">
        <x:f>SUMIFS('Lançamentos'!$J$9:$J$208,'Lançamentos'!$B$9:$B$208,A11,'Lançamentos'!$C$9:$C$208,"Receita")</x:f>
        <x:v>0</x:v>
      </x:c>
      <x:c r="D11" s="58" t="n">
        <x:f>B11-C11</x:f>
        <x:v>0</x:v>
      </x:c>
      <x:c r="E11" s="61" t="n">
        <x:f>SUMIFS('Lançamentos'!$H$9:$H$208,'Lançamentos'!$B$9:$B$208,A11,'Lançamentos'!$C$9:$C$208,"Custo")+SUMIFS('Lançamentos'!$J$9:$J$208,'Lançamentos'!$B$9:$B$208,A11,'Lançamentos'!$C$9:$C$208,"Custo")</x:f>
        <x:v>0</x:v>
      </x:c>
      <x:c r="F11" s="45" t="n">
        <x:f>D11-E11</x:f>
        <x:v>0</x:v>
      </x:c>
      <x:c r="G11" s="46" t="n">
        <x:f>IFERROR(F11/B11,0)</x:f>
        <x:v>0</x:v>
      </x:c>
      <x:c r="H11" s="21" t="str">
        <x:f>IF(B11+E11=0,"Sem lançamentos","OK")</x:f>
        <x:v>Sem lançamentos</x:v>
      </x:c>
    </x:row>
    <x:row r="12">
      <x:c r="A12" s="44" t="n">
        <x:f>DATE('Lançamentos'!$B$5,8,1)</x:f>
        <x:v>46235</x:v>
      </x:c>
      <x:c r="B12" s="58" t="n">
        <x:f>SUMIFS('Lançamentos'!$H$9:$H$208,'Lançamentos'!$B$9:$B$208,A12,'Lançamentos'!$C$9:$C$208,"Receita")</x:f>
        <x:v>0</x:v>
      </x:c>
      <x:c r="C12" s="64" t="n">
        <x:f>SUMIFS('Lançamentos'!$J$9:$J$208,'Lançamentos'!$B$9:$B$208,A12,'Lançamentos'!$C$9:$C$208,"Receita")</x:f>
        <x:v>0</x:v>
      </x:c>
      <x:c r="D12" s="58" t="n">
        <x:f>B12-C12</x:f>
        <x:v>0</x:v>
      </x:c>
      <x:c r="E12" s="61" t="n">
        <x:f>SUMIFS('Lançamentos'!$H$9:$H$208,'Lançamentos'!$B$9:$B$208,A12,'Lançamentos'!$C$9:$C$208,"Custo")+SUMIFS('Lançamentos'!$J$9:$J$208,'Lançamentos'!$B$9:$B$208,A12,'Lançamentos'!$C$9:$C$208,"Custo")</x:f>
        <x:v>0</x:v>
      </x:c>
      <x:c r="F12" s="45" t="n">
        <x:f>D12-E12</x:f>
        <x:v>0</x:v>
      </x:c>
      <x:c r="G12" s="46" t="n">
        <x:f>IFERROR(F12/B12,0)</x:f>
        <x:v>0</x:v>
      </x:c>
      <x:c r="H12" s="21" t="str">
        <x:f>IF(B12+E12=0,"Sem lançamentos","OK")</x:f>
        <x:v>Sem lançamentos</x:v>
      </x:c>
    </x:row>
    <x:row r="13">
      <x:c r="A13" s="44" t="n">
        <x:f>DATE('Lançamentos'!$B$5,9,1)</x:f>
        <x:v>46266</x:v>
      </x:c>
      <x:c r="B13" s="58" t="n">
        <x:f>SUMIFS('Lançamentos'!$H$9:$H$208,'Lançamentos'!$B$9:$B$208,A13,'Lançamentos'!$C$9:$C$208,"Receita")</x:f>
        <x:v>0</x:v>
      </x:c>
      <x:c r="C13" s="64" t="n">
        <x:f>SUMIFS('Lançamentos'!$J$9:$J$208,'Lançamentos'!$B$9:$B$208,A13,'Lançamentos'!$C$9:$C$208,"Receita")</x:f>
        <x:v>0</x:v>
      </x:c>
      <x:c r="D13" s="58" t="n">
        <x:f>B13-C13</x:f>
        <x:v>0</x:v>
      </x:c>
      <x:c r="E13" s="61" t="n">
        <x:f>SUMIFS('Lançamentos'!$H$9:$H$208,'Lançamentos'!$B$9:$B$208,A13,'Lançamentos'!$C$9:$C$208,"Custo")+SUMIFS('Lançamentos'!$J$9:$J$208,'Lançamentos'!$B$9:$B$208,A13,'Lançamentos'!$C$9:$C$208,"Custo")</x:f>
        <x:v>0</x:v>
      </x:c>
      <x:c r="F13" s="45" t="n">
        <x:f>D13-E13</x:f>
        <x:v>0</x:v>
      </x:c>
      <x:c r="G13" s="46" t="n">
        <x:f>IFERROR(F13/B13,0)</x:f>
        <x:v>0</x:v>
      </x:c>
      <x:c r="H13" s="21" t="str">
        <x:f>IF(B13+E13=0,"Sem lançamentos","OK")</x:f>
        <x:v>Sem lançamentos</x:v>
      </x:c>
    </x:row>
    <x:row r="14">
      <x:c r="A14" s="44" t="n">
        <x:f>DATE('Lançamentos'!$B$5,10,1)</x:f>
        <x:v>46296</x:v>
      </x:c>
      <x:c r="B14" s="58" t="n">
        <x:f>SUMIFS('Lançamentos'!$H$9:$H$208,'Lançamentos'!$B$9:$B$208,A14,'Lançamentos'!$C$9:$C$208,"Receita")</x:f>
        <x:v>0</x:v>
      </x:c>
      <x:c r="C14" s="64" t="n">
        <x:f>SUMIFS('Lançamentos'!$J$9:$J$208,'Lançamentos'!$B$9:$B$208,A14,'Lançamentos'!$C$9:$C$208,"Receita")</x:f>
        <x:v>0</x:v>
      </x:c>
      <x:c r="D14" s="58" t="n">
        <x:f>B14-C14</x:f>
        <x:v>0</x:v>
      </x:c>
      <x:c r="E14" s="61" t="n">
        <x:f>SUMIFS('Lançamentos'!$H$9:$H$208,'Lançamentos'!$B$9:$B$208,A14,'Lançamentos'!$C$9:$C$208,"Custo")+SUMIFS('Lançamentos'!$J$9:$J$208,'Lançamentos'!$B$9:$B$208,A14,'Lançamentos'!$C$9:$C$208,"Custo")</x:f>
        <x:v>0</x:v>
      </x:c>
      <x:c r="F14" s="45" t="n">
        <x:f>D14-E14</x:f>
        <x:v>0</x:v>
      </x:c>
      <x:c r="G14" s="46" t="n">
        <x:f>IFERROR(F14/B14,0)</x:f>
        <x:v>0</x:v>
      </x:c>
      <x:c r="H14" s="21" t="str">
        <x:f>IF(B14+E14=0,"Sem lançamentos","OK")</x:f>
        <x:v>Sem lançamentos</x:v>
      </x:c>
    </x:row>
    <x:row r="15">
      <x:c r="A15" s="44" t="n">
        <x:f>DATE('Lançamentos'!$B$5,11,1)</x:f>
        <x:v>46327</x:v>
      </x:c>
      <x:c r="B15" s="58" t="n">
        <x:f>SUMIFS('Lançamentos'!$H$9:$H$208,'Lançamentos'!$B$9:$B$208,A15,'Lançamentos'!$C$9:$C$208,"Receita")</x:f>
        <x:v>0</x:v>
      </x:c>
      <x:c r="C15" s="64" t="n">
        <x:f>SUMIFS('Lançamentos'!$J$9:$J$208,'Lançamentos'!$B$9:$B$208,A15,'Lançamentos'!$C$9:$C$208,"Receita")</x:f>
        <x:v>0</x:v>
      </x:c>
      <x:c r="D15" s="58" t="n">
        <x:f>B15-C15</x:f>
        <x:v>0</x:v>
      </x:c>
      <x:c r="E15" s="61" t="n">
        <x:f>SUMIFS('Lançamentos'!$H$9:$H$208,'Lançamentos'!$B$9:$B$208,A15,'Lançamentos'!$C$9:$C$208,"Custo")+SUMIFS('Lançamentos'!$J$9:$J$208,'Lançamentos'!$B$9:$B$208,A15,'Lançamentos'!$C$9:$C$208,"Custo")</x:f>
        <x:v>0</x:v>
      </x:c>
      <x:c r="F15" s="45" t="n">
        <x:f>D15-E15</x:f>
        <x:v>0</x:v>
      </x:c>
      <x:c r="G15" s="46" t="n">
        <x:f>IFERROR(F15/B15,0)</x:f>
        <x:v>0</x:v>
      </x:c>
      <x:c r="H15" s="21" t="str">
        <x:f>IF(B15+E15=0,"Sem lançamentos","OK")</x:f>
        <x:v>Sem lançamentos</x:v>
      </x:c>
    </x:row>
    <x:row r="16">
      <x:c r="A16" s="47" t="n">
        <x:f>DATE('Lançamentos'!$B$5,12,1)</x:f>
        <x:v>46357</x:v>
      </x:c>
      <x:c r="B16" s="59" t="n">
        <x:f>SUMIFS('Lançamentos'!$H$9:$H$208,'Lançamentos'!$B$9:$B$208,A16,'Lançamentos'!$C$9:$C$208,"Receita")</x:f>
        <x:v>0</x:v>
      </x:c>
      <x:c r="C16" s="65" t="n">
        <x:f>SUMIFS('Lançamentos'!$J$9:$J$208,'Lançamentos'!$B$9:$B$208,A16,'Lançamentos'!$C$9:$C$208,"Receita")</x:f>
        <x:v>0</x:v>
      </x:c>
      <x:c r="D16" s="59" t="n">
        <x:f>B16-C16</x:f>
        <x:v>0</x:v>
      </x:c>
      <x:c r="E16" s="62" t="n">
        <x:f>SUMIFS('Lançamentos'!$H$9:$H$208,'Lançamentos'!$B$9:$B$208,A16,'Lançamentos'!$C$9:$C$208,"Custo")+SUMIFS('Lançamentos'!$J$9:$J$208,'Lançamentos'!$B$9:$B$208,A16,'Lançamentos'!$C$9:$C$208,"Custo")</x:f>
        <x:v>0</x:v>
      </x:c>
      <x:c r="F16" s="48" t="n">
        <x:f>D16-E16</x:f>
        <x:v>0</x:v>
      </x:c>
      <x:c r="G16" s="49" t="n">
        <x:f>IFERROR(F16/B16,0)</x:f>
        <x:v>0</x:v>
      </x:c>
      <x:c r="H16" s="22" t="str">
        <x:f>IF(B16+E16=0,"Sem lançamentos","OK")</x:f>
        <x:v>Sem lançamentos</x:v>
      </x:c>
    </x:row>
    <x:row r="19">
      <x:c r="A19" s="52" t="str">
        <x:v>Total anual</x:v>
      </x:c>
      <x:c r="B19" s="55" t="n">
        <x:f>SUM(B5:B16)</x:f>
        <x:v>18000</x:v>
      </x:c>
      <x:c r="C19" s="55" t="n">
        <x:f>SUM(C5:C16)</x:f>
        <x:v>149.39999999999998</x:v>
      </x:c>
      <x:c r="D19" s="55" t="n">
        <x:f>SUM(D5:D16)</x:f>
        <x:v>17850.6</x:v>
      </x:c>
      <x:c r="E19" s="55" t="n">
        <x:f>SUM(E5:E16)</x:f>
        <x:v>380</x:v>
      </x:c>
      <x:c r="F19" s="56" t="n">
        <x:f>SUM(F5:F16)</x:f>
        <x:v>17470.6</x:v>
      </x:c>
    </x:row>
  </x:sheetData>
  <x:mergeCells>
    <x:mergeCell ref="A1:H1"/>
    <x:mergeCell ref="A2:H2"/>
  </x:mergeCells>
  <x:pageMargins left="0.7" right="0.7" top="0.75" bottom="0.75" header="0.3" footer="0.3"/>
</x:worksheet>
</file>